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dlc\"/>
    </mc:Choice>
  </mc:AlternateContent>
  <xr:revisionPtr revIDLastSave="0" documentId="13_ncr:1_{9B248079-FD6F-41B5-83BF-F864E1E5D6FF}" xr6:coauthVersionLast="47" xr6:coauthVersionMax="47" xr10:uidLastSave="{00000000-0000-0000-0000-000000000000}"/>
  <bookViews>
    <workbookView xWindow="-120" yWindow="-120" windowWidth="29040" windowHeight="15720" tabRatio="812" activeTab="4" xr2:uid="{00000000-000D-0000-FFFF-FFFF00000000}"/>
  </bookViews>
  <sheets>
    <sheet name="Instructions" sheetId="1" r:id="rId1"/>
    <sheet name="Dashboard" sheetId="2" r:id="rId2"/>
    <sheet name="Risk Register" sheetId="3" r:id="rId3"/>
    <sheet name="Risk-Control Matrix" sheetId="4" r:id="rId4"/>
    <sheet name="Build Controls" sheetId="5" r:id="rId5"/>
    <sheet name="Release Controls" sheetId="6" r:id="rId6"/>
    <sheet name="Runtime Controls" sheetId="7" r:id="rId7"/>
    <sheet name="Lifecycle Controls" sheetId="8" r:id="rId8"/>
    <sheet name="Scoring Legend" sheetId="9" r:id="rId9"/>
    <sheet name="Definitions" sheetId="10" r:id="rId10"/>
    <sheet name="Model Reference" sheetId="11" r:id="rId11"/>
    <sheet name="Methodology" sheetId="12" r:id="rId12"/>
  </sheets>
  <definedNames>
    <definedName name="_xlnm._FilterDatabase" localSheetId="4" hidden="1">'Build Controls'!$A$3:$N$9</definedName>
    <definedName name="_xlnm._FilterDatabase" localSheetId="7" hidden="1">'Lifecycle Controls'!$A$3:$N$6</definedName>
    <definedName name="_xlnm._FilterDatabase" localSheetId="5" hidden="1">'Release Controls'!$A$3:$N$10</definedName>
    <definedName name="_xlnm._FilterDatabase" localSheetId="2" hidden="1">'Risk Register'!$A$3:$T$12</definedName>
    <definedName name="_xlnm._FilterDatabase" localSheetId="6" hidden="1">'Runtime Controls'!$A$3:$N$9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5" l="1"/>
  <c r="F8" i="5"/>
  <c r="E8" i="3"/>
  <c r="S17" i="4"/>
  <c r="S18" i="4" s="1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I15" i="3"/>
  <c r="H15" i="3"/>
  <c r="E15" i="3"/>
  <c r="I14" i="3"/>
  <c r="H14" i="3"/>
  <c r="E14" i="3"/>
  <c r="I13" i="3"/>
  <c r="H13" i="3"/>
  <c r="E13" i="3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F15" i="4"/>
  <c r="AF14" i="4"/>
  <c r="AF13" i="4"/>
  <c r="E12" i="3"/>
  <c r="E11" i="3" l="1"/>
  <c r="E10" i="3"/>
  <c r="E9" i="3"/>
  <c r="E7" i="3"/>
  <c r="E6" i="3"/>
  <c r="E5" i="3"/>
  <c r="E4" i="3"/>
  <c r="AF12" i="4"/>
  <c r="AF11" i="4"/>
  <c r="AF10" i="4"/>
  <c r="AF9" i="4"/>
  <c r="AF8" i="4"/>
  <c r="AF7" i="4"/>
  <c r="AF6" i="4"/>
  <c r="AF5" i="4"/>
  <c r="AF4" i="4"/>
  <c r="AE17" i="4"/>
  <c r="AE18" i="4" s="1"/>
  <c r="AD17" i="4"/>
  <c r="AD18" i="4" s="1"/>
  <c r="Z17" i="4"/>
  <c r="Z18" i="4" s="1"/>
  <c r="K17" i="4"/>
  <c r="K18" i="4" s="1"/>
  <c r="J17" i="4"/>
  <c r="J18" i="4" s="1"/>
  <c r="I17" i="4"/>
  <c r="I18" i="4" s="1"/>
  <c r="L5" i="2" a="1"/>
  <c r="L5" i="2" s="1"/>
  <c r="K5" i="2" a="1"/>
  <c r="K5" i="2" s="1"/>
  <c r="J5" i="2" a="1"/>
  <c r="J5" i="2" s="1"/>
  <c r="I5" i="2" a="1"/>
  <c r="I5" i="2" s="1"/>
  <c r="AC17" i="4"/>
  <c r="AB17" i="4"/>
  <c r="AA17" i="4"/>
  <c r="Y17" i="4"/>
  <c r="X17" i="4"/>
  <c r="W17" i="4"/>
  <c r="V17" i="4"/>
  <c r="U17" i="4"/>
  <c r="T17" i="4"/>
  <c r="R17" i="4"/>
  <c r="Q17" i="4"/>
  <c r="P17" i="4"/>
  <c r="O17" i="4"/>
  <c r="N17" i="4"/>
  <c r="M17" i="4"/>
  <c r="L17" i="4"/>
  <c r="H17" i="4"/>
  <c r="G17" i="4"/>
  <c r="F17" i="4"/>
  <c r="E17" i="4"/>
  <c r="D17" i="4"/>
  <c r="C17" i="4"/>
  <c r="D18" i="4" l="1"/>
  <c r="E18" i="4"/>
  <c r="F18" i="4"/>
  <c r="G18" i="4"/>
  <c r="H18" i="4"/>
  <c r="L18" i="4"/>
  <c r="M18" i="4"/>
  <c r="N18" i="4"/>
  <c r="O18" i="4"/>
  <c r="P18" i="4"/>
  <c r="Q18" i="4"/>
  <c r="R18" i="4"/>
  <c r="T18" i="4"/>
  <c r="U18" i="4"/>
  <c r="V18" i="4"/>
  <c r="W18" i="4"/>
  <c r="X18" i="4"/>
  <c r="Y18" i="4"/>
  <c r="AA18" i="4"/>
  <c r="AB18" i="4"/>
  <c r="AC18" i="4"/>
  <c r="C18" i="4"/>
  <c r="C22" i="2"/>
  <c r="C21" i="2"/>
  <c r="C20" i="2"/>
  <c r="C19" i="2"/>
  <c r="C13" i="2"/>
  <c r="F5" i="5"/>
  <c r="G6" i="8"/>
  <c r="F6" i="8"/>
  <c r="G5" i="8"/>
  <c r="F5" i="8"/>
  <c r="G4" i="8"/>
  <c r="F4" i="8"/>
  <c r="G9" i="7"/>
  <c r="F9" i="7"/>
  <c r="G8" i="7"/>
  <c r="F8" i="7"/>
  <c r="G7" i="7"/>
  <c r="F7" i="7"/>
  <c r="G6" i="7"/>
  <c r="F6" i="7"/>
  <c r="G5" i="7"/>
  <c r="F5" i="7"/>
  <c r="G4" i="7"/>
  <c r="F4" i="7"/>
  <c r="G9" i="5"/>
  <c r="F9" i="5"/>
  <c r="G8" i="5"/>
  <c r="F7" i="5"/>
  <c r="G6" i="5"/>
  <c r="F6" i="5"/>
  <c r="G5" i="5"/>
  <c r="G4" i="5"/>
  <c r="F4" i="5"/>
  <c r="H12" i="3"/>
  <c r="I12" i="3" s="1"/>
  <c r="H11" i="3"/>
  <c r="I11" i="3" s="1"/>
  <c r="H10" i="3"/>
  <c r="I10" i="3" s="1"/>
  <c r="I9" i="3"/>
  <c r="H9" i="3"/>
  <c r="H8" i="3"/>
  <c r="I8" i="3" s="1"/>
  <c r="H7" i="3"/>
  <c r="I7" i="3" s="1"/>
  <c r="H6" i="3"/>
  <c r="I6" i="3" s="1"/>
  <c r="H5" i="3"/>
  <c r="I5" i="3" s="1"/>
  <c r="H4" i="3"/>
  <c r="I4" i="3" s="1"/>
  <c r="F16" i="2"/>
  <c r="C16" i="2"/>
  <c r="F15" i="2"/>
  <c r="C15" i="2"/>
  <c r="F14" i="2"/>
  <c r="C14" i="2"/>
  <c r="F13" i="2"/>
  <c r="F4" i="2"/>
  <c r="C4" i="2"/>
  <c r="U14" i="3" l="1" a="1"/>
  <c r="U14" i="3" s="1"/>
  <c r="U13" i="3" a="1"/>
  <c r="U13" i="3" s="1"/>
  <c r="U15" i="3" a="1"/>
  <c r="U15" i="3" s="1"/>
  <c r="AF16" i="4"/>
  <c r="U12" i="3" a="1"/>
  <c r="U12" i="3" s="1"/>
  <c r="U8" i="3" a="1"/>
  <c r="U8" i="3" s="1"/>
  <c r="U7" i="3" a="1"/>
  <c r="U7" i="3" s="1"/>
  <c r="U6" i="3" a="1"/>
  <c r="U6" i="3" s="1"/>
  <c r="U5" i="3" a="1"/>
  <c r="U5" i="3" s="1"/>
  <c r="U4" i="3" a="1"/>
  <c r="U4" i="3" s="1"/>
  <c r="U10" i="3" a="1"/>
  <c r="U10" i="3" s="1"/>
  <c r="U11" i="3" a="1"/>
  <c r="U11" i="3" s="1"/>
  <c r="U9" i="3" a="1"/>
  <c r="U9" i="3" s="1"/>
  <c r="F7" i="2"/>
  <c r="F9" i="2"/>
  <c r="F8" i="2"/>
  <c r="F10" i="2"/>
  <c r="L15" i="3" l="1"/>
  <c r="K15" i="3"/>
  <c r="L13" i="3"/>
  <c r="K13" i="3"/>
  <c r="L14" i="3"/>
  <c r="K14" i="3"/>
  <c r="K11" i="3"/>
  <c r="L11" i="3"/>
  <c r="L8" i="3"/>
  <c r="K8" i="3"/>
  <c r="K10" i="3"/>
  <c r="L10" i="3"/>
  <c r="L9" i="3"/>
  <c r="K9" i="3"/>
  <c r="K7" i="3"/>
  <c r="L7" i="3"/>
  <c r="L5" i="3"/>
  <c r="K5" i="3"/>
  <c r="L4" i="3"/>
  <c r="K4" i="3"/>
  <c r="K12" i="3"/>
  <c r="L12" i="3"/>
  <c r="K6" i="3"/>
  <c r="L6" i="3"/>
  <c r="M14" i="3" l="1"/>
  <c r="N14" i="3" s="1"/>
  <c r="M13" i="3"/>
  <c r="N13" i="3" s="1"/>
  <c r="M15" i="3"/>
  <c r="N15" i="3" s="1"/>
  <c r="M4" i="3"/>
  <c r="N4" i="3" s="1"/>
  <c r="M8" i="3"/>
  <c r="N8" i="3" s="1"/>
  <c r="M12" i="3"/>
  <c r="N12" i="3" s="1"/>
  <c r="M11" i="3"/>
  <c r="N11" i="3" s="1"/>
  <c r="M6" i="3"/>
  <c r="N6" i="3" s="1"/>
  <c r="M5" i="3"/>
  <c r="N5" i="3" s="1"/>
  <c r="M7" i="3"/>
  <c r="N7" i="3" s="1"/>
  <c r="M9" i="3"/>
  <c r="N9" i="3" s="1"/>
  <c r="M10" i="3"/>
  <c r="N10" i="3" s="1"/>
  <c r="C7" i="2" l="1"/>
  <c r="C9" i="2"/>
  <c r="C10" i="2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<sst xmlns="http://schemas.openxmlformats.org/spreadsheetml/2006/main" count="1030" uniqueCount="511">
  <si>
    <t>Organization / Product</t>
  </si>
  <si>
    <t>[ enter ]</t>
  </si>
  <si>
    <t>In-scope services / systems</t>
  </si>
  <si>
    <t>Assessment period</t>
  </si>
  <si>
    <t>Risk owner / Assessor</t>
  </si>
  <si>
    <t>Date prepared</t>
  </si>
  <si>
    <t>Next review due</t>
  </si>
  <si>
    <t>Version</t>
  </si>
  <si>
    <t>How this template works</t>
  </si>
  <si>
    <t>Model</t>
  </si>
  <si>
    <t>1.  Risk Register</t>
  </si>
  <si>
    <t>2.  Risk-Control Matrix</t>
  </si>
  <si>
    <t>3.  Control sheets</t>
  </si>
  <si>
    <t>One tab per control group (Build / Release / Runtime / Lifecycle). For each control record its implementation status, effectiveness, owner, evidence and any remediation. 'Risks mitigated' lists the risks each control addresses.</t>
  </si>
  <si>
    <t>4.  Dashboard</t>
  </si>
  <si>
    <t>Aggregates residual risk ratings, control implementation status and coverage.</t>
  </si>
  <si>
    <t>Reference</t>
  </si>
  <si>
    <t>Notes</t>
  </si>
  <si>
    <t>•</t>
  </si>
  <si>
    <t>Blue text = inputs you complete. Black text = automatic calculations — do not overwrite.</t>
  </si>
  <si>
    <t>Total risks</t>
  </si>
  <si>
    <t>Total controls</t>
  </si>
  <si>
    <t>Residual risk by rating</t>
  </si>
  <si>
    <t>Count</t>
  </si>
  <si>
    <t>Inherent risk by rating</t>
  </si>
  <si>
    <t>Critical</t>
  </si>
  <si>
    <t>High</t>
  </si>
  <si>
    <t>Medium</t>
  </si>
  <si>
    <t>Low</t>
  </si>
  <si>
    <t>Control implementation status</t>
  </si>
  <si>
    <t>Controls by group</t>
  </si>
  <si>
    <t>Implemented</t>
  </si>
  <si>
    <t>Build Controls</t>
  </si>
  <si>
    <t>Partially Implemented</t>
  </si>
  <si>
    <t>Release Controls</t>
  </si>
  <si>
    <t>Planned</t>
  </si>
  <si>
    <t>Runtime Controls</t>
  </si>
  <si>
    <t>Not Implemented</t>
  </si>
  <si>
    <t>Lifecycle Controls</t>
  </si>
  <si>
    <t>RISK</t>
  </si>
  <si>
    <t>INHERENT RISK</t>
  </si>
  <si>
    <t>EFFECT.</t>
  </si>
  <si>
    <t>RESIDUAL RISK</t>
  </si>
  <si>
    <t>RESPONSE &amp; OWNER</t>
  </si>
  <si>
    <t>Risk ID</t>
  </si>
  <si>
    <t>Risk</t>
  </si>
  <si>
    <t>Description</t>
  </si>
  <si>
    <t>Mapped Control IDs</t>
  </si>
  <si>
    <t># Ctrls</t>
  </si>
  <si>
    <t>Inh. L</t>
  </si>
  <si>
    <t>Inh. I</t>
  </si>
  <si>
    <t>Inh. Score</t>
  </si>
  <si>
    <t>Inh. Rating</t>
  </si>
  <si>
    <t>Control Effectiveness</t>
  </si>
  <si>
    <t>Res. L</t>
  </si>
  <si>
    <t>Res. I</t>
  </si>
  <si>
    <t>Res. Score</t>
  </si>
  <si>
    <t>Res. Rating</t>
  </si>
  <si>
    <t>Risk Response</t>
  </si>
  <si>
    <t>Risk Owner</t>
  </si>
  <si>
    <t>Action Plan</t>
  </si>
  <si>
    <t>Action Owner</t>
  </si>
  <si>
    <t>Target Date</t>
  </si>
  <si>
    <t>Status</t>
  </si>
  <si>
    <t>Supply Chain Compromise</t>
  </si>
  <si>
    <t>Malicious or tampered components (open-source libraries, base images, build tools, third-party services) enter the SDLC, resulting in compromised applications reaching production.</t>
  </si>
  <si>
    <t>Not Tested</t>
  </si>
  <si>
    <t>Mitigate</t>
  </si>
  <si>
    <t>In Progress</t>
  </si>
  <si>
    <t>Insider Threat</t>
  </si>
  <si>
    <t>Authorised personnel (or attackers using their credentials) misuse legitimate access to repositories, environments or production to compromise confidentiality, integrity or availability.</t>
  </si>
  <si>
    <t>0001, 0007, 0010, 0012, 0013, 0014, 0015, 0016, 0017</t>
  </si>
  <si>
    <t>Unauthorised Deployment</t>
  </si>
  <si>
    <t>Software is deployed to production without passing required quality gates, security scans or approval checks.</t>
  </si>
  <si>
    <t>0002, 0010, 0013, 0016</t>
  </si>
  <si>
    <t>Credential and Secret Exposure</t>
  </si>
  <si>
    <t>Leaked or poorly managed secrets enable unauthorised access to production systems, customer data or pipelines.</t>
  </si>
  <si>
    <t>Vulnerable Software in Production</t>
  </si>
  <si>
    <t>Known vulnerabilities in code or dependencies are exploited in the production environment.</t>
  </si>
  <si>
    <t>Audit and Compliance Failure</t>
  </si>
  <si>
    <t>Inability to evidence controls to regulators, auditors or enterprise customers, resulting in reputational or commercial damage.</t>
  </si>
  <si>
    <t>Unauthorised System Access</t>
  </si>
  <si>
    <t>Production environments are accessed by personnel without appropriate authorisation or full audit trails.</t>
  </si>
  <si>
    <t>0014, 0015</t>
  </si>
  <si>
    <t>Configuration Drift</t>
  </si>
  <si>
    <t>Infrastructure or application configuration diverges from its known, approved state, causing undetected changes in security posture or behaviour.</t>
  </si>
  <si>
    <t>0001, 0005, 0012, 0013, 0018</t>
  </si>
  <si>
    <t>Environment Breach</t>
  </si>
  <si>
    <t>An external attacker runs unauthorised workloads within the production environment.</t>
  </si>
  <si>
    <t>0015, 0016, 0019</t>
  </si>
  <si>
    <t>BUILD</t>
  </si>
  <si>
    <t>RELEASE</t>
  </si>
  <si>
    <t>RUNTIME</t>
  </si>
  <si>
    <t>LIFECYCLE</t>
  </si>
  <si>
    <t>0001</t>
  </si>
  <si>
    <t>0002</t>
  </si>
  <si>
    <t>0003</t>
  </si>
  <si>
    <t>0004</t>
  </si>
  <si>
    <t>0005</t>
  </si>
  <si>
    <t>0006</t>
  </si>
  <si>
    <t>0007</t>
  </si>
  <si>
    <t>0008</t>
  </si>
  <si>
    <t>0020</t>
  </si>
  <si>
    <t>0021</t>
  </si>
  <si>
    <t>0022</t>
  </si>
  <si>
    <t>0010</t>
  </si>
  <si>
    <t>0023</t>
  </si>
  <si>
    <t>0012</t>
  </si>
  <si>
    <t>0013</t>
  </si>
  <si>
    <t>0014</t>
  </si>
  <si>
    <t>0015</t>
  </si>
  <si>
    <t>0016</t>
  </si>
  <si>
    <t>0018</t>
  </si>
  <si>
    <t>0017</t>
  </si>
  <si>
    <t>0019</t>
  </si>
  <si>
    <t>0011</t>
  </si>
  <si>
    <t>X</t>
  </si>
  <si>
    <t># Risks</t>
  </si>
  <si>
    <t>(per control)</t>
  </si>
  <si>
    <t>CONTROL</t>
  </si>
  <si>
    <t>RISK COVERAGE</t>
  </si>
  <si>
    <t>ASSESSMENT</t>
  </si>
  <si>
    <t>OWNER &amp; ACTION</t>
  </si>
  <si>
    <t>Control ID</t>
  </si>
  <si>
    <t>Control</t>
  </si>
  <si>
    <t>Objective / Description</t>
  </si>
  <si>
    <t>Control Type</t>
  </si>
  <si>
    <t>Control Nature</t>
  </si>
  <si>
    <t>Risks Mitigated</t>
  </si>
  <si>
    <t>Implementation Status</t>
  </si>
  <si>
    <t>Control Owner</t>
  </si>
  <si>
    <t>Evidence / Reference</t>
  </si>
  <si>
    <t>Action Plan / Notes</t>
  </si>
  <si>
    <t>Version Control</t>
  </si>
  <si>
    <t>All source code and configuration is managed in version control with full, traceable history.</t>
  </si>
  <si>
    <t>Preventive</t>
  </si>
  <si>
    <t>Hybrid</t>
  </si>
  <si>
    <t>To Do</t>
  </si>
  <si>
    <t>Artifact Binary Provenance</t>
  </si>
  <si>
    <t>Build artifacts are traceable to their source commit and build; provenance is attested and verifiable.</t>
  </si>
  <si>
    <t>Preventive &amp; Detective</t>
  </si>
  <si>
    <t>Automated</t>
  </si>
  <si>
    <t>Controlled Build Environment</t>
  </si>
  <si>
    <t>Builds run in a controlled, reproducible environment using approved, hardened toolchains.</t>
  </si>
  <si>
    <t>Dependency Management</t>
  </si>
  <si>
    <t>Third-party and open-source dependencies are inventoried, approved and kept current; SBOM maintained.</t>
  </si>
  <si>
    <t>Infrastructure and Configuration as Code</t>
  </si>
  <si>
    <t>Infrastructure and configuration are defined as code, version-controlled and peer-reviewed.</t>
  </si>
  <si>
    <t>Secrets Scanning</t>
  </si>
  <si>
    <t>Code and artifacts are scanned to detect secrets/credentials before reaching shared repositories.</t>
  </si>
  <si>
    <t>Detective</t>
  </si>
  <si>
    <t>Code Review</t>
  </si>
  <si>
    <t>Changes are peer-reviewed and approved before being merged or released.</t>
  </si>
  <si>
    <t>Quality Assurance</t>
  </si>
  <si>
    <t>Automated and manual testing validates functionality and quality before release.</t>
  </si>
  <si>
    <t>Vulnerability Scanning — SAST</t>
  </si>
  <si>
    <t>Static application security testing detects code-level vulnerabilities before release.</t>
  </si>
  <si>
    <t>Vulnerability Scanning — SCA</t>
  </si>
  <si>
    <t>Software composition analysis detects vulnerable dependencies before release.</t>
  </si>
  <si>
    <t>Vulnerability Scanning — Containers</t>
  </si>
  <si>
    <t>Container images are scanned for vulnerabilities before release.</t>
  </si>
  <si>
    <t>Deployment Approvals</t>
  </si>
  <si>
    <t>Production deployments require defined approvals and must pass required gates.</t>
  </si>
  <si>
    <t>Feature Flags</t>
  </si>
  <si>
    <t>Functionality is controlled via feature flags to enable safe, reversible release.</t>
  </si>
  <si>
    <t>Corrective</t>
  </si>
  <si>
    <t>Change Records</t>
  </si>
  <si>
    <t>Every production change is captured in a traceable, auditable change record.</t>
  </si>
  <si>
    <t>Deployment Controls</t>
  </si>
  <si>
    <t>Only verified, approved artifacts can be deployed; deployment mechanisms are controlled.</t>
  </si>
  <si>
    <t>Secrets Management</t>
  </si>
  <si>
    <t>Runtime secrets are stored, rotated and accessed through a managed secrets solution.</t>
  </si>
  <si>
    <t>System Access Controls</t>
  </si>
  <si>
    <t>Production access is least-privilege, authenticated, time-bound and logged.</t>
  </si>
  <si>
    <t>Runtime Workload Monitoring</t>
  </si>
  <si>
    <t>Running workloads are monitored to detect anomalous or unauthorised activity.</t>
  </si>
  <si>
    <t>Drift Detection</t>
  </si>
  <si>
    <t>Deviations from the approved, declared state are detected and alerted.</t>
  </si>
  <si>
    <t>Training</t>
  </si>
  <si>
    <t>Personnel receive security and process training relevant to their role.</t>
  </si>
  <si>
    <t>Manual</t>
  </si>
  <si>
    <t>Penetration Testing</t>
  </si>
  <si>
    <t>Independent penetration testing periodically identifies exploitable weaknesses.</t>
  </si>
  <si>
    <t>Service Ownership</t>
  </si>
  <si>
    <t>Every service has a defined owner accountable for its security and operation.</t>
  </si>
  <si>
    <t>Scoring Legend &amp; Risk Heat Map</t>
  </si>
  <si>
    <t>Likelihood (L)</t>
  </si>
  <si>
    <t>Impact (I)</t>
  </si>
  <si>
    <t>1 – Rare</t>
  </si>
  <si>
    <t>Very unlikely within the period</t>
  </si>
  <si>
    <t>1 – Insignificant</t>
  </si>
  <si>
    <t>No real security/data impact</t>
  </si>
  <si>
    <t>2 – Unlikely</t>
  </si>
  <si>
    <t>Could occur but not expected</t>
  </si>
  <si>
    <t>2 – Minor</t>
  </si>
  <si>
    <t>Limited, contained impact</t>
  </si>
  <si>
    <t>3 – Possible</t>
  </si>
  <si>
    <t>Might occur at some point</t>
  </si>
  <si>
    <t>3 – Moderate</t>
  </si>
  <si>
    <t>Some data/service disruption</t>
  </si>
  <si>
    <t>4 – Likely</t>
  </si>
  <si>
    <t>Will probably occur in most cases</t>
  </si>
  <si>
    <t>4 – Major</t>
  </si>
  <si>
    <t>Significant breach or outage</t>
  </si>
  <si>
    <t>5 – Almost certain</t>
  </si>
  <si>
    <t>Expected / already occurring</t>
  </si>
  <si>
    <t>5 – Severe</t>
  </si>
  <si>
    <t>Critical breach / penalty</t>
  </si>
  <si>
    <t>Risk Score = Likelihood × Impact</t>
  </si>
  <si>
    <t>I → / L ↓</t>
  </si>
  <si>
    <t>Rating</t>
  </si>
  <si>
    <t>Score</t>
  </si>
  <si>
    <t>Guidance</t>
  </si>
  <si>
    <t>15–25</t>
  </si>
  <si>
    <t>Outside appetite. Immediate remediation &amp; escalation.</t>
  </si>
  <si>
    <t>8–14</t>
  </si>
  <si>
    <t>Action plan with owner &amp; target date required.</t>
  </si>
  <si>
    <t>4–7</t>
  </si>
  <si>
    <t>Monitor; remediate where cost-effective.</t>
  </si>
  <si>
    <t>1–3</t>
  </si>
  <si>
    <t>Within appetite. Accept &amp; monitor.</t>
  </si>
  <si>
    <t>Definitions &amp; Data Dictionary</t>
  </si>
  <si>
    <t>Explains the Risk Register and Control sheets and the meaning of each value, with examples.</t>
  </si>
  <si>
    <t>A.  Risk Register columns</t>
  </si>
  <si>
    <t>Column</t>
  </si>
  <si>
    <t>Group</t>
  </si>
  <si>
    <t>Definition</t>
  </si>
  <si>
    <t>Allowed values</t>
  </si>
  <si>
    <t>Example</t>
  </si>
  <si>
    <t>Risk / Description</t>
  </si>
  <si>
    <t>The risk name and what it means.</t>
  </si>
  <si>
    <t>Free text</t>
  </si>
  <si>
    <t>0002, 0004, 0020…</t>
  </si>
  <si>
    <t>Count of mapped controls — from the matrix (auto).</t>
  </si>
  <si>
    <t>Formula</t>
  </si>
  <si>
    <t>Inh. L / Inh. I</t>
  </si>
  <si>
    <t>Inherent</t>
  </si>
  <si>
    <t>1–5</t>
  </si>
  <si>
    <t>4 / 5</t>
  </si>
  <si>
    <t>Inh. Score / Rating</t>
  </si>
  <si>
    <t>1–25 / Low–Critical</t>
  </si>
  <si>
    <t>20 / Critical</t>
  </si>
  <si>
    <t>Assess</t>
  </si>
  <si>
    <t>Overall rated effectiveness of the mapped controls (see B).</t>
  </si>
  <si>
    <t>Effective…Not Tested</t>
  </si>
  <si>
    <t>Partially Effective</t>
  </si>
  <si>
    <t>Res. L / Res. I</t>
  </si>
  <si>
    <t>Residual</t>
  </si>
  <si>
    <t>Likelihood &amp; Impact after controls (1–5).</t>
  </si>
  <si>
    <t>2 / 4</t>
  </si>
  <si>
    <t>Res. Score / Rating</t>
  </si>
  <si>
    <t>L×I and band (auto); compared to appetite.</t>
  </si>
  <si>
    <t>8 / High</t>
  </si>
  <si>
    <t>Action</t>
  </si>
  <si>
    <t>Treatment decision (see D).</t>
  </si>
  <si>
    <t>Mitigate/Accept/Transfer/Avoid</t>
  </si>
  <si>
    <t>Risk Owner / Action Plan / Owner / Date / Status</t>
  </si>
  <si>
    <t>Accountable owner and remediation tracking.</t>
  </si>
  <si>
    <t>Text / date / status</t>
  </si>
  <si>
    <t>CISO / … / In Progress</t>
  </si>
  <si>
    <t>B.  Control sheet columns</t>
  </si>
  <si>
    <t>Control / Objective</t>
  </si>
  <si>
    <t>Control name and what it achieves.</t>
  </si>
  <si>
    <t>WHEN the control acts (see C).</t>
  </si>
  <si>
    <t>Preventive/Detective/Corrective</t>
  </si>
  <si>
    <t>HOW it runs.</t>
  </si>
  <si>
    <t>Manual/Automated/Hybrid</t>
  </si>
  <si>
    <t>Risks Mitigated / # Risks</t>
  </si>
  <si>
    <t>Risks this control addresses and the count (count is auto).</t>
  </si>
  <si>
    <t>0001, 0005 / 2</t>
  </si>
  <si>
    <t>How fully the control is in place (see E).</t>
  </si>
  <si>
    <t>Implemented…Not Implemented</t>
  </si>
  <si>
    <t>How well it works (see B-effectiveness).</t>
  </si>
  <si>
    <t>Effective</t>
  </si>
  <si>
    <t>Control Owner / Evidence / Action / Date / Status</t>
  </si>
  <si>
    <t>Accountable owner, proof, and remediation tracking.</t>
  </si>
  <si>
    <t>Text/date/status</t>
  </si>
  <si>
    <t>Platform Eng / scan report / …</t>
  </si>
  <si>
    <t>C.  Control Type — WHEN the control acts</t>
  </si>
  <si>
    <t>Controls may combine types.</t>
  </si>
  <si>
    <t>Value</t>
  </si>
  <si>
    <t>Meaning</t>
  </si>
  <si>
    <t>Acts before an incident to stop it (lowers likelihood).</t>
  </si>
  <si>
    <t>Deployment Approvals; System Access Controls.</t>
  </si>
  <si>
    <t>Surfaces an existing weakness or incident.</t>
  </si>
  <si>
    <t>SAST/SCA scanning; Runtime Workload Monitoring.</t>
  </si>
  <si>
    <t>Limits damage / restores after an event.</t>
  </si>
  <si>
    <t>Feature Flags enabling safe rollback.</t>
  </si>
  <si>
    <t>D.  Risk Response — treatment decision</t>
  </si>
  <si>
    <t>Standard ISO 31000 options.</t>
  </si>
  <si>
    <t>Add/strengthen controls to reduce the risk.</t>
  </si>
  <si>
    <t>Strengthen dependency management &amp; SCA.</t>
  </si>
  <si>
    <t>Accept</t>
  </si>
  <si>
    <t>Retain risk within appetite; document &amp; own it.</t>
  </si>
  <si>
    <t>Low residual risk formally accepted.</t>
  </si>
  <si>
    <t>Transfer</t>
  </si>
  <si>
    <t>Shift some impact to a third party.</t>
  </si>
  <si>
    <t>Cyber insurance; supplier obligations.</t>
  </si>
  <si>
    <t>Avoid</t>
  </si>
  <si>
    <t>Stop the activity creating the risk.</t>
  </si>
  <si>
    <t>Retire an unsupported component.</t>
  </si>
  <si>
    <t>E.  Implementation Status &amp; Effectiveness</t>
  </si>
  <si>
    <t>Status = how fully a control is in place; Effectiveness = how well it works.</t>
  </si>
  <si>
    <t>Implemented / Effective</t>
  </si>
  <si>
    <t>Control fully in place and operating well.</t>
  </si>
  <si>
    <t>Control live, evidenced, no gaps.</t>
  </si>
  <si>
    <t>Partially Implemented / Partially Effective</t>
  </si>
  <si>
    <t>In place for some scope or with gaps.</t>
  </si>
  <si>
    <t>Applied to new services only.</t>
  </si>
  <si>
    <t>Agreed but not yet implemented.</t>
  </si>
  <si>
    <t>On the roadmap for next quarter.</t>
  </si>
  <si>
    <t>Not Implemented / Ineffective</t>
  </si>
  <si>
    <t>Absent or not operating.</t>
  </si>
  <si>
    <t>No drift detection in place yet.</t>
  </si>
  <si>
    <t>Not yet assessed this cycle.</t>
  </si>
  <si>
    <t>Newly added control, no evidence yet.</t>
  </si>
  <si>
    <t>The 9 risks</t>
  </si>
  <si>
    <t>Name</t>
  </si>
  <si>
    <t>Mapped controls</t>
  </si>
  <si>
    <t>The 22 controls (4 groups)</t>
  </si>
  <si>
    <t>Objective</t>
  </si>
  <si>
    <t>Control effectiveness</t>
  </si>
  <si>
    <t>Ineffective</t>
  </si>
  <si>
    <t>Control Effectiveness (live)</t>
  </si>
  <si>
    <t>SDLC Risk &amp; Control Self-Assessment</t>
  </si>
  <si>
    <t>Accepted</t>
  </si>
  <si>
    <t>Closed</t>
  </si>
  <si>
    <t>F.  Status — action-item workflow tracking</t>
  </si>
  <si>
    <t>Tracks progress of each control's implementation / remediation action item (the OWNER &amp; ACTION section). Distinct from Implementation Status (how fully in place) and Effectiveness (how well it works).</t>
  </si>
  <si>
    <t>Action item logged but not yet started.</t>
  </si>
  <si>
    <t>Remediation identified; owner has not begun work.</t>
  </si>
  <si>
    <t>Work is actively underway.</t>
  </si>
  <si>
    <t>Owner is building or rolling out the control.</t>
  </si>
  <si>
    <t>Control has been built and deployed.</t>
  </si>
  <si>
    <t>Control is live; effectiveness testing may still be pending.</t>
  </si>
  <si>
    <t>Action item completed, verified and finalized.</t>
  </si>
  <si>
    <t>Remediation done and signed off; no open work.</t>
  </si>
  <si>
    <t>Risk formally accepted; no further action planned.</t>
  </si>
  <si>
    <t>Residual risk within appetite; owner accepts as-is.</t>
  </si>
  <si>
    <t>Control Effectiveness Weights (used for Residual Risk)</t>
  </si>
  <si>
    <t>Effectiveness</t>
  </si>
  <si>
    <t>Weight</t>
  </si>
  <si>
    <t>Residual = Inherent − (Inherent − 1) × avg weight of mapped controls (applied to both L and I).</t>
  </si>
  <si>
    <t>Effectiveness weight</t>
  </si>
  <si>
    <t>CONTROL-DRIVEN</t>
  </si>
  <si>
    <t>Avg Ctrl Eff</t>
  </si>
  <si>
    <t>How “Avg Ctrl Eff” (Average Control Effectiveness) is calculated</t>
  </si>
  <si>
    <t>1. For each risk, identify its mapped controls (the X marks in the Risk-Control Matrix).</t>
  </si>
  <si>
    <t>2. Convert each mapped control's live effectiveness to a weight using the table above (Effective 1.0, Partially Effective 0.5, Ineffective 0.0, Not Tested 0.0).</t>
  </si>
  <si>
    <t>3. Avg Ctrl Eff = sum of the mapped controls' weights ÷ number of mapped controls.</t>
  </si>
  <si>
    <t>4. Res. L = ROUND( Inh. L − (Inh. L − 1) × Avg Ctrl Eff, 0 ); Res. I uses the same form on Inh. I.</t>
  </si>
  <si>
    <t>5. Res. Score = Res. L × Res. I; Res. Rating is read from the score bands above.</t>
  </si>
  <si>
    <t>Example (illustrative): Inh. L = 4, Inh. I = 5, Avg Ctrl Eff = 0.69  →  Res. L = ROUND(4 − 3×0.69) = 2, Res. I = ROUND(5 − 4×0.69) = 2, Score = 4 (Medium).</t>
  </si>
  <si>
    <t>Risk-Control Matrix — which controls mitigate which risks</t>
  </si>
  <si>
    <t>RCSA Methodology — SDLC Risk &amp; Control Self-Assessment</t>
  </si>
  <si>
    <t>How the Risk &amp; Control Self-Assessment is scored, maintained, and operated in the organization.</t>
  </si>
  <si>
    <t>1. Purpose &amp; Scope</t>
  </si>
  <si>
    <t>2. Workbook Structure</t>
  </si>
  <si>
    <t>Each tab has a defined role. Work through them in roughly this order:</t>
  </si>
  <si>
    <t>•   Instructions — quick-start guidance for new users.</t>
  </si>
  <si>
    <t>•   Dashboard — summary view of risk counts and ratings.</t>
  </si>
  <si>
    <t>•   Risk Register — master list of risks with inherent scores, control-driven residual scores, owners and responses.</t>
  </si>
  <si>
    <t>•   Risk-Control Matrix — maps which controls mitigate which risks (the X grid) and shows each control's live effectiveness.</t>
  </si>
  <si>
    <t>•   Build / Release / Runtime / Lifecycle Controls — the control inventory by SDLC stage, with implementation status and effectiveness assessment.</t>
  </si>
  <si>
    <t>•   Scoring Legend — likelihood/impact scales, rating bands, and the control-effectiveness weights used for residual risk.</t>
  </si>
  <si>
    <t>•   Definitions — glossary of terms used across the workbook.</t>
  </si>
  <si>
    <t>3. Risk Scoring (Inherent Risk)</t>
  </si>
  <si>
    <t>Every risk is scored on two 1–5 axes before controls are considered:</t>
  </si>
  <si>
    <t>•   Likelihood (L) — how likely the risk is to occur (1 Rare … 5 Almost certain).</t>
  </si>
  <si>
    <t>•   Impact (I) — severity if it occurs (1 Insignificant … 5 Severe).</t>
  </si>
  <si>
    <t>Inherent Score = Inh. L × Inh. I (range 1–25). The score maps to a rating band — Critical 15–25, High 8–14, Medium 4–7, Low 1–3. Level definitions are on the Scoring Legend.</t>
  </si>
  <si>
    <t>4. Control Assessment</t>
  </si>
  <si>
    <t>Controls are inventoried by SDLC stage on the four Controls tabs. Each control is assessed on two dimensions:</t>
  </si>
  <si>
    <t>•   Implementation Status — whether the control is actually in place (Implemented / Not Implemented).</t>
  </si>
  <si>
    <t>•   Control Effectiveness — how well it works when tested (Effective / Partially Effective / Ineffective / Not Tested).</t>
  </si>
  <si>
    <t>Effectiveness is the key input to residual risk. A conservative stance is taken: 'Not Tested' earns no risk-reduction credit until there is evidence the control works.</t>
  </si>
  <si>
    <t>5. Residual Risk (Control-Driven)</t>
  </si>
  <si>
    <t>Residual risk is the risk remaining after controls. It is calculated automatically from the effectiveness of the controls mapped to each risk — it is not entered manually.</t>
  </si>
  <si>
    <t>Step 1 — Each effectiveness level is given a weight (Scoring Legend): Effective 1.0, Partially Effective 0.5, Ineffective 0.0, Not Tested 0.0.</t>
  </si>
  <si>
    <t>Step 2 — For each risk, Avg Ctrl Eff = the average weight of the controls mapped to it in the Risk-Control Matrix.</t>
  </si>
  <si>
    <t>Step 3 — Residual is reduced from inherent toward a floor of 1:  Res. L = ROUND( Inh. L − (Inh. L − 1) × Avg Ctrl Eff, 0 );  Res. I uses the same form on Inh. I.</t>
  </si>
  <si>
    <t>Step 4 — Res. Score = Res. L × Res. I, and Res. Rating uses the same bands as inherent risk.</t>
  </si>
  <si>
    <t>Behaviour: if all mapped controls are fully Effective, residual falls to its floor; if none are effective or tested, residual equals inherent. Changing any control's effectiveness on a Controls tab flows straight through to the residual rating.</t>
  </si>
  <si>
    <t>6. How to Use This Workbook (Operating Process)</t>
  </si>
  <si>
    <t>Recommended workflow and ownership:</t>
  </si>
  <si>
    <t>•   Risk owners maintain the Risk Register — risk descriptions, inherent scores, response strategy, action plans and target dates.</t>
  </si>
  <si>
    <t>•   Control owners maintain their Controls tab — implementation status, effectiveness (with an evidence reference), owner and target date.</t>
  </si>
  <si>
    <t>•   Update the Risk-Control Matrix whenever a new control-to-risk relationship is identified (mark an X in the intersecting cell).</t>
  </si>
  <si>
    <t>•   Do not edit Res. L / Res. I directly — they are formulas. To move a residual score, change the underlying control effectiveness (with evidence).</t>
  </si>
  <si>
    <t>•   Use the Dashboard to read the overall risk position and report it to stakeholders.</t>
  </si>
  <si>
    <t>7. Governance &amp; Review Cadence</t>
  </si>
  <si>
    <t>•   Review all risks and control effectiveness at least quarterly, and after any significant change to the SDLC, tooling, or threat landscape.</t>
  </si>
  <si>
    <t>•   Controls rated 'Not Tested' should be tested and evidenced; 'Ineffective' or 'Partially Effective' controls require an action plan with an owner and target date.</t>
  </si>
  <si>
    <t>•   Residual ratings of High or Critical are outside risk appetite — they require escalation and active remediation (see the Scoring Legend guidance column).</t>
  </si>
  <si>
    <t>•   Keep an evidence reference for every effectiveness rating to support internal audit and customer/regulator assurance.</t>
  </si>
  <si>
    <t>8. Maintaining the Model</t>
  </si>
  <si>
    <t>•   Add a risk: insert a row in the Risk Register and the matching row in the Risk-Control Matrix, then copy the inherent, Avg Ctrl Eff and residual formulas down.</t>
  </si>
  <si>
    <t>•   Add a control: add it to the relevant Controls tab and as a new column in the Risk-Control Matrix; the effectiveness-weight and live-effectiveness formulas extend across.</t>
  </si>
  <si>
    <t>•   Change the methodology: edit the effectiveness weights or rating bands only on the Scoring Legend — every calculation references those cells, so nothing else needs changing.</t>
  </si>
  <si>
    <t>Before first use, assign named risk and control owners and confirm the review cadence with risk governance.</t>
  </si>
  <si>
    <t>RCSA Summary Dashboard</t>
  </si>
  <si>
    <t>Build Controls — SDLC Controls</t>
  </si>
  <si>
    <t>Release Controls — SDLC Controls</t>
  </si>
  <si>
    <t>Runtime Controls — SDLC Controls</t>
  </si>
  <si>
    <t>Lifecycle Controls — SDLC Controls</t>
  </si>
  <si>
    <t>Risk identifier.</t>
  </si>
  <si>
    <t>The controls that mitigate this risk.</t>
  </si>
  <si>
    <t>Control identifier.</t>
  </si>
  <si>
    <t>Secure SDLC — Model Reference</t>
  </si>
  <si>
    <t>Risks are mitigated by controls grouped into Build, Release, Runtime and Lifecycle.</t>
  </si>
  <si>
    <t>Reproduced for assessment use. Verify against the current source template, which is a living document.</t>
  </si>
  <si>
    <t>This workbook is a Risk &amp; Control Self-Assessment (RCSA) for software-delivery (SDLC) risks. It documents the risks to our software supply chain and delivery pipeline, the controls that mitigate them, and a residual-risk position that updates automatically as control effectiveness changes. Scope covers the Build, Release, Runtime and Lifecycle stages of the SDLC, based on a secure-SDLC control model.</t>
  </si>
  <si>
    <t>Model Reference — the source control model this assessment is based on.</t>
  </si>
  <si>
    <t>This template separates RISKS from CONTROLS and connects them in a matrix. Controls are grouped as Build, Release, Runtime and Lifecycle. Residual risk is not entered manually — each risk's residual Likelihood and Impact are driven automatically by the average effectiveness of its mapped controls (see the Methodology tab).</t>
  </si>
  <si>
    <t>Assess each of the 9 SDLC risks: rate inherent Likelihood &amp; Impact (no controls), then rate the effectiveness of the mapped controls on the Control sheets. Residual risk is calculated automatically from that effectiveness. Assign a risk owner and, where needed, an action plan.</t>
  </si>
  <si>
    <t>Risks, controls and the risk↔control mappings reproduce a secure-SDLC reference model (see Model Reference). Inherent ratings and control effectiveness are illustrative samples — reassess for your organization; residual scores then calculate automatically.</t>
  </si>
  <si>
    <t>The reference model is a living template; verify control and risk definitions against the current source, and tailor ownership, evidence and scoring to your environment.</t>
  </si>
  <si>
    <t>The 'Scoring Legend' tab defines the 1–5 scales, heat map and control-effectiveness weights; 'Definitions' explains every column and value; 'Model Reference' lists all risks and controls; 'Methodology' documents the full approach.</t>
  </si>
  <si>
    <t>Shows which controls mitigate which risks — exactly as defined in the model. 'X' marks a mapped relationship. Row and column totals calculate automatically.</t>
  </si>
  <si>
    <t>Risk Register — SDLC Risks (RISK-0001 … 0009)</t>
  </si>
  <si>
    <t>RISK-0001</t>
  </si>
  <si>
    <t>RISK-0002</t>
  </si>
  <si>
    <t>RISK-0003</t>
  </si>
  <si>
    <t>RISK-0004</t>
  </si>
  <si>
    <t>RISK-0005</t>
  </si>
  <si>
    <t>RISK-0006</t>
  </si>
  <si>
    <t>RISK-0007</t>
  </si>
  <si>
    <t>RISK-0008</t>
  </si>
  <si>
    <t>RISK-0009</t>
  </si>
  <si>
    <t>X = control mitigates the risk. Control IDs are CTRL-00xx; see the control tabs for names. Row total = controls mitigating each risk; bottom row = risks each control addresses.</t>
  </si>
  <si>
    <t>CTRL-0001</t>
  </si>
  <si>
    <t>CTRL-0002</t>
  </si>
  <si>
    <t>CTRL-0003</t>
  </si>
  <si>
    <t>CTRL-0004</t>
  </si>
  <si>
    <t>CTRL-0005</t>
  </si>
  <si>
    <t>CTRL-0006</t>
  </si>
  <si>
    <t>CTRL-0007</t>
  </si>
  <si>
    <t>CTRL-0008</t>
  </si>
  <si>
    <t>CTRL-0020</t>
  </si>
  <si>
    <t>CTRL-0021</t>
  </si>
  <si>
    <t>CTRL-0022</t>
  </si>
  <si>
    <t>CTRL-0010</t>
  </si>
  <si>
    <t>CTRL-0023</t>
  </si>
  <si>
    <t>CTRL-0012</t>
  </si>
  <si>
    <t>CTRL-0013</t>
  </si>
  <si>
    <t>CTRL-0014</t>
  </si>
  <si>
    <t>CTRL-0015</t>
  </si>
  <si>
    <t>CTRL-0016</t>
  </si>
  <si>
    <t>CTRL-0018</t>
  </si>
  <si>
    <t>CTRL-0017</t>
  </si>
  <si>
    <t>CTRL-0019</t>
  </si>
  <si>
    <t>CTRL-0011</t>
  </si>
  <si>
    <t>RISK-00xx</t>
  </si>
  <si>
    <t>CTRL ids</t>
  </si>
  <si>
    <t>CTRL-00xx</t>
  </si>
  <si>
    <t>RISK ids / formula</t>
  </si>
  <si>
    <t>Aligned to the Kosli Secure SDLC model: 9 risks, 22 controls (Build · Release · Runtime · Lifecycle) and the risk↔control mapping</t>
  </si>
  <si>
    <t>This SDLC template is reference from the Kosli</t>
  </si>
  <si>
    <t>Detective &amp; Corrective</t>
  </si>
  <si>
    <t>Preventive &amp; Corrective</t>
  </si>
  <si>
    <t>CTRL-0024</t>
  </si>
  <si>
    <t>Software Bill of Materials (SBOM) Generation &amp; Attestation</t>
  </si>
  <si>
    <t>Enforce that every build automatically generates a standard SBOM (e.g., CycloneDX or SPDX format) and cryptographically signs it to prevent tampering.</t>
  </si>
  <si>
    <t>CTRL-0025</t>
  </si>
  <si>
    <t>Dependency Firewall &amp; Vetted Registries</t>
  </si>
  <si>
    <t>Restrict CI/CD runners from pulling packages directly from public registries without routing through a proxy that blocks malicious or unvetted packages.</t>
  </si>
  <si>
    <t>CTRL-0026</t>
  </si>
  <si>
    <t>Infrastructure as Code (IaC) Static Analysis</t>
  </si>
  <si>
    <t>Automated pre-deployment security scanning of cloud configuration files (Terraform templates, Helm charts, Kubernetes manifests) to catch misconfigurations before deployment.</t>
  </si>
  <si>
    <t>0024</t>
  </si>
  <si>
    <t>0025</t>
  </si>
  <si>
    <t>0026</t>
  </si>
  <si>
    <t>CTRL-0027</t>
  </si>
  <si>
    <t>Post-Commit Secrets Detection &amp; Auto-Revocation</t>
  </si>
  <si>
    <t>Active background monitors continuously check code repositories for leaked secrets and automatically trigger alert/rotation sequences if an accidental merge occurs.</t>
  </si>
  <si>
    <t>0027</t>
  </si>
  <si>
    <t>CTRL-0028</t>
  </si>
  <si>
    <t>Continuous Threat Modeling &amp; Architecture Review</t>
  </si>
  <si>
    <t>For major releases or structural API changes, a formal threat-modeling exercise (e.g., STRIDE) must be documented and approved before engineering work begins.</t>
  </si>
  <si>
    <t>CTRL-0029</t>
  </si>
  <si>
    <t>GenAI Code Assistance Guardrails</t>
  </si>
  <si>
    <t>Ensure code generated by AI assistants (GitHub Copilot, Cursor) passes identical SAST/SCA gates as human code; policies prohibit pasting sensitive customer data or credentials into external LLMs.</t>
  </si>
  <si>
    <t>0028</t>
  </si>
  <si>
    <t>0029</t>
  </si>
  <si>
    <t>0002, 0003, 0004, 0013, 0016, 0020, 0021, 0022, 0024, 0025</t>
  </si>
  <si>
    <t>0001, 0006, 0014, 0015, 0027</t>
  </si>
  <si>
    <t>0004, 0008, 0016, 0019, 0020, 0021, 0022, 0026</t>
  </si>
  <si>
    <t>0002, 0007, 0010, 0012, 0015, 0016, 0028, 0029</t>
  </si>
  <si>
    <t>Avg Ctrl Eff (Control-Driven)</t>
  </si>
  <si>
    <t>Average effectiveness of this risk's mapped controls, expressed as a %. Derived from the Risk-Control Matrix (auto).</t>
  </si>
  <si>
    <t>0%–100%</t>
  </si>
  <si>
    <t>Manually entered by the assessor (blue input). Rate Likelihood and Impact each 1–5 assuming NO controls are in place — the raw, unmitigated view.</t>
  </si>
  <si>
    <t>Auto-calculated. Inh. Score = Inh. L × Inh. I; Rating bands the score: 1–3 Low · 4–7 Medium · 8–14 High · 15–25 Critical.</t>
  </si>
  <si>
    <t>Worked example (RISK-0001): Inh. L = 4, Inh. I = 5, Avg Ctrl Eff = 30%  →  Res. L = ROUND(4 − 3×0.30) = 3, Res. I = ROUND(5 − 4×0.30) = 4, Res. Score = 12 (High).</t>
  </si>
  <si>
    <t>0030</t>
  </si>
  <si>
    <t>CTRL-0030</t>
  </si>
  <si>
    <t>Automated API Schema &amp; Contract Verification</t>
  </si>
  <si>
    <t>Validate live staging application network interfaces against strict OpenAPI schemas and execute automated behavioral fuzz tests to discover object-level authorization vulnerabilities.</t>
  </si>
  <si>
    <t>RISK-0010</t>
  </si>
  <si>
    <t>RISK-0011</t>
  </si>
  <si>
    <t>RISK-0012</t>
  </si>
  <si>
    <t>GenAI &amp; Code Assistant Exploitation</t>
  </si>
  <si>
    <t>Insecure Infrastructure as Code (IaC)</t>
  </si>
  <si>
    <t>Insecure Architectural Design</t>
  </si>
  <si>
    <t>Developers using unvetted public LLMs or autonomous AI coding agents introduce package hallucinations, unauthorized license liabilities, or inadvertently leak proprietary source code/secrets into public models.</t>
  </si>
  <si>
    <t>0007, 0029</t>
  </si>
  <si>
    <t>Cloud deployment configurations, container orchestration manifest files (Terraform, Helm charts, Kubernetes YAML), or environment parameters contain systemic access-control vulnerabilities or overly permissive IAM footprints committed directly into the code.</t>
  </si>
  <si>
    <t>0005, 0026</t>
  </si>
  <si>
    <t>Core functional flaws in application logic, business processing flows, data tenancy boundaries, or upstream API design contracts are introduced during early product specification phases, passing downstream syntactical pipeline scans undetected.</t>
  </si>
  <si>
    <t>0028, 0030</t>
  </si>
  <si>
    <t>0004, 0008, 0016, 0019, 0020, 0021, 0022, 0024, 0045, 0026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</si>
</sst>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"/>
  </numFmts>
  <fonts count="6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2"/>
      <color rgb="FF000000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  <font>
      <b/>
      <sz val="10"/>
      <color rgb="FF806000"/>
      <name val="Arial"/>
      <charset val="1"/>
    </font>
    <font>
      <b/>
      <sz val="10"/>
      <color rgb="FF00610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0000FF"/>
      <name val="Arial"/>
      <charset val="1"/>
    </font>
    <font>
      <b/>
      <sz val="9"/>
      <color rgb="FF000000"/>
      <name val="Arial"/>
      <charset val="1"/>
    </font>
    <font>
      <i/>
      <sz val="9"/>
      <color rgb="FFFFFFFF"/>
      <name val="Arial"/>
      <charset val="1"/>
    </font>
    <font>
      <i/>
      <sz val="9"/>
      <color rgb="FF595959"/>
      <name val="Arial"/>
      <charset val="1"/>
    </font>
    <font>
      <i/>
      <sz val="10"/>
      <color rgb="FF404040"/>
      <name val="Arial"/>
      <charset val="1"/>
    </font>
    <font>
      <i/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0"/>
      <color rgb="FF595959"/>
      <name val="Arial"/>
      <charset val="1"/>
    </font>
    <font>
      <b/>
      <sz val="10"/>
      <color rgb="FFFFFFFF"/>
      <name val="Arial"/>
    </font>
    <font>
      <b/>
      <sz val="10"/>
      <color rgb="FF006100"/>
      <name val="Arial"/>
    </font>
    <font>
      <b/>
      <sz val="10"/>
      <color rgb="FF9C6500"/>
      <name val="Arial"/>
    </font>
    <font>
      <b/>
      <sz val="10"/>
      <color rgb="FF9C0006"/>
      <name val="Arial"/>
    </font>
    <font>
      <b/>
      <sz val="10"/>
      <color rgb="FF3F3F76"/>
      <name val="Arial"/>
    </font>
    <font>
      <b/>
      <sz val="10"/>
      <color rgb="FF000000"/>
      <name val="Arial"/>
    </font>
    <font>
      <sz val="8"/>
      <color rgb="FF595959"/>
      <name val="Arial"/>
    </font>
    <font>
      <i/>
      <sz val="8"/>
      <color rgb="FF595959"/>
      <name val="Arial"/>
    </font>
    <font>
      <sz val="10"/>
      <color rgb="FF0000FF"/>
      <name val="Arial"/>
    </font>
    <font>
      <b/>
      <sz val="11"/>
      <color rgb="FFFFFFFF"/>
      <name val="Arial"/>
    </font>
    <font>
      <i/>
      <sz val="10"/>
      <color rgb="FF404040"/>
      <name val="Arial"/>
    </font>
    <font>
      <b/>
      <sz val="10"/>
      <color rgb="FF595959"/>
      <name val="Arial"/>
    </font>
    <font>
      <sz val="10"/>
      <color rgb="FF000000"/>
      <name val="Arial"/>
    </font>
    <font>
      <b/>
      <sz val="10"/>
      <color rgb="FF806000"/>
      <name val="Arial"/>
    </font>
    <font>
      <b/>
      <sz val="10"/>
      <color rgb="FF1F3864"/>
      <name val="Arial"/>
    </font>
    <font>
      <sz val="10"/>
      <color rgb="FF9C0006"/>
      <name val="Arial"/>
    </font>
    <font>
      <b/>
      <sz val="12"/>
      <color rgb="FFFFFFFF"/>
      <name val="Arial"/>
    </font>
    <font>
      <i/>
      <sz val="9"/>
      <color rgb="FF595959"/>
      <name val="Arial"/>
    </font>
    <font>
      <sz val="10"/>
      <color rgb="FF006100"/>
      <name val="Arial"/>
    </font>
    <font>
      <sz val="10"/>
      <color rgb="FF806000"/>
      <name val="Arial"/>
    </font>
    <font>
      <b/>
      <sz val="9"/>
      <color rgb="FFFFFFFF"/>
      <name val="Arial"/>
    </font>
    <font>
      <b/>
      <sz val="16"/>
      <color rgb="FFFFFFFF"/>
      <name val="Arial"/>
    </font>
    <font>
      <i/>
      <sz val="11"/>
      <color rgb="FF595959"/>
      <name val="Arial"/>
    </font>
    <font>
      <sz val="10"/>
      <color rgb="FF1F3864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color rgb="FF000000"/>
      <name val="Arial"/>
      <family val="2"/>
    </font>
    <font>
      <b/>
      <sz val="10"/>
      <color rgb="FF9C0006"/>
      <name val="Arial"/>
      <family val="2"/>
    </font>
    <font>
      <b/>
      <sz val="10"/>
      <color rgb="FF806000"/>
      <name val="Arial"/>
      <family val="2"/>
    </font>
    <font>
      <sz val="10"/>
      <color rgb="FF9C0006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8"/>
      <color rgb="FF59595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0061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6F6F"/>
      </patternFill>
    </fill>
    <fill>
      <patternFill patternType="solid">
        <fgColor rgb="FFD9E1F2"/>
        <bgColor rgb="FFEAF0FB"/>
      </patternFill>
    </fill>
    <fill>
      <patternFill patternType="solid">
        <fgColor rgb="FFEAF0FB"/>
        <bgColor rgb="FFF2F2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404040"/>
        <bgColor rgb="FF1F4E2E"/>
      </patternFill>
    </fill>
    <fill>
      <patternFill patternType="solid">
        <fgColor rgb="FF7F6000"/>
        <bgColor rgb="FF806000"/>
      </patternFill>
    </fill>
    <fill>
      <patternFill patternType="solid">
        <fgColor rgb="FF5B2C6F"/>
        <bgColor rgb="FF404040"/>
      </patternFill>
    </fill>
    <fill>
      <patternFill patternType="solid">
        <fgColor rgb="FF1F4E2E"/>
        <bgColor rgb="FF404040"/>
      </patternFill>
    </fill>
    <fill>
      <patternFill patternType="solid">
        <fgColor rgb="FF7F4F1F"/>
        <bgColor rgb="FF7F6000"/>
      </patternFill>
    </fill>
    <fill>
      <patternFill patternType="solid">
        <fgColor rgb="FFF2F2F2"/>
        <bgColor rgb="FFEAF0FB"/>
      </patternFill>
    </fill>
    <fill>
      <patternFill patternType="solid">
        <fgColor rgb="FFFFFFFF"/>
        <bgColor rgb="FFF2F2F2"/>
      </patternFill>
    </fill>
    <fill>
      <patternFill patternType="solid">
        <fgColor rgb="FF1F6F6F"/>
        <bgColor rgb="FF008080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textRotation="90" wrapText="1"/>
    </xf>
    <xf numFmtId="0" fontId="18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righ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 wrapText="1"/>
    </xf>
    <xf numFmtId="0" fontId="3" fillId="15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top" wrapText="1"/>
    </xf>
    <xf numFmtId="0" fontId="13" fillId="9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5" fillId="10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left" vertical="top" wrapText="1"/>
    </xf>
    <xf numFmtId="0" fontId="22" fillId="16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top" wrapText="1"/>
    </xf>
    <xf numFmtId="0" fontId="25" fillId="21" borderId="3" xfId="0" applyFont="1" applyFill="1" applyBorder="1" applyAlignment="1">
      <alignment horizontal="left" vertical="top" wrapText="1"/>
    </xf>
    <xf numFmtId="0" fontId="29" fillId="22" borderId="2" xfId="0" applyFont="1" applyFill="1" applyBorder="1" applyAlignment="1">
      <alignment horizontal="left"/>
    </xf>
    <xf numFmtId="0" fontId="26" fillId="20" borderId="3" xfId="0" applyFont="1" applyFill="1" applyBorder="1" applyAlignment="1">
      <alignment horizontal="left" vertical="top" wrapText="1"/>
    </xf>
    <xf numFmtId="0" fontId="25" fillId="21" borderId="4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7" fillId="19" borderId="3" xfId="0" applyFont="1" applyFill="1" applyBorder="1" applyAlignment="1">
      <alignment horizontal="left"/>
    </xf>
    <xf numFmtId="0" fontId="30" fillId="0" borderId="4" xfId="0" applyFont="1" applyBorder="1" applyAlignment="1">
      <alignment horizontal="center"/>
    </xf>
    <xf numFmtId="0" fontId="28" fillId="18" borderId="3" xfId="0" applyFont="1" applyFill="1" applyBorder="1" applyAlignment="1">
      <alignment horizontal="left"/>
    </xf>
    <xf numFmtId="0" fontId="31" fillId="0" borderId="0" xfId="0" applyFont="1" applyAlignment="1">
      <alignment horizontal="center"/>
    </xf>
    <xf numFmtId="0" fontId="32" fillId="0" borderId="5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5" fillId="0" borderId="0" xfId="0" applyFont="1" applyAlignment="1">
      <alignment horizontal="left"/>
    </xf>
    <xf numFmtId="0" fontId="34" fillId="21" borderId="6" xfId="0" applyFont="1" applyFill="1" applyBorder="1" applyAlignment="1">
      <alignment horizontal="left"/>
    </xf>
    <xf numFmtId="0" fontId="0" fillId="21" borderId="6" xfId="0" applyFill="1" applyBorder="1"/>
    <xf numFmtId="0" fontId="25" fillId="21" borderId="1" xfId="0" applyFont="1" applyFill="1" applyBorder="1" applyAlignment="1">
      <alignment horizontal="center"/>
    </xf>
    <xf numFmtId="0" fontId="0" fillId="21" borderId="1" xfId="0" applyFill="1" applyBorder="1"/>
    <xf numFmtId="0" fontId="36" fillId="25" borderId="1" xfId="0" applyFont="1" applyFill="1" applyBorder="1" applyAlignment="1">
      <alignment horizontal="center"/>
    </xf>
    <xf numFmtId="0" fontId="37" fillId="24" borderId="1" xfId="0" applyFont="1" applyFill="1" applyBorder="1" applyAlignment="1">
      <alignment horizontal="left"/>
    </xf>
    <xf numFmtId="0" fontId="0" fillId="24" borderId="1" xfId="0" applyFill="1" applyBorder="1"/>
    <xf numFmtId="0" fontId="33" fillId="24" borderId="1" xfId="0" applyFont="1" applyFill="1" applyBorder="1" applyAlignment="1">
      <alignment horizontal="left"/>
    </xf>
    <xf numFmtId="0" fontId="38" fillId="23" borderId="1" xfId="0" applyFont="1" applyFill="1" applyBorder="1" applyAlignment="1">
      <alignment horizontal="center"/>
    </xf>
    <xf numFmtId="0" fontId="26" fillId="20" borderId="1" xfId="0" applyFont="1" applyFill="1" applyBorder="1" applyAlignment="1">
      <alignment horizontal="center"/>
    </xf>
    <xf numFmtId="0" fontId="39" fillId="26" borderId="1" xfId="0" applyFont="1" applyFill="1" applyBorder="1" applyAlignment="1">
      <alignment horizontal="center"/>
    </xf>
    <xf numFmtId="0" fontId="27" fillId="19" borderId="1" xfId="0" applyFont="1" applyFill="1" applyBorder="1" applyAlignment="1">
      <alignment horizontal="center"/>
    </xf>
    <xf numFmtId="0" fontId="41" fillId="27" borderId="0" xfId="0" applyFont="1" applyFill="1" applyAlignment="1">
      <alignment horizontal="left"/>
    </xf>
    <xf numFmtId="0" fontId="25" fillId="21" borderId="0" xfId="0" applyFont="1" applyFill="1" applyAlignment="1">
      <alignment horizontal="center"/>
    </xf>
    <xf numFmtId="0" fontId="25" fillId="21" borderId="0" xfId="0" applyFont="1" applyFill="1" applyAlignment="1">
      <alignment horizontal="center" vertical="top" wrapText="1"/>
    </xf>
    <xf numFmtId="0" fontId="42" fillId="0" borderId="0" xfId="0" applyFont="1" applyAlignment="1">
      <alignment horizontal="left"/>
    </xf>
    <xf numFmtId="0" fontId="43" fillId="20" borderId="0" xfId="0" applyFont="1" applyFill="1" applyAlignment="1">
      <alignment horizontal="left"/>
    </xf>
    <xf numFmtId="164" fontId="33" fillId="0" borderId="0" xfId="0" applyNumberFormat="1" applyFont="1" applyAlignment="1">
      <alignment horizontal="center"/>
    </xf>
    <xf numFmtId="0" fontId="44" fillId="23" borderId="0" xfId="0" applyFont="1" applyFill="1" applyAlignment="1">
      <alignment horizontal="left"/>
    </xf>
    <xf numFmtId="0" fontId="40" fillId="18" borderId="0" xfId="0" applyFont="1" applyFill="1" applyAlignment="1">
      <alignment horizontal="left"/>
    </xf>
    <xf numFmtId="0" fontId="37" fillId="25" borderId="0" xfId="0" applyFont="1" applyFill="1" applyAlignment="1">
      <alignment horizontal="left"/>
    </xf>
    <xf numFmtId="0" fontId="32" fillId="24" borderId="7" xfId="0" applyFont="1" applyFill="1" applyBorder="1" applyAlignment="1">
      <alignment horizontal="right" vertical="center" wrapText="1"/>
    </xf>
    <xf numFmtId="164" fontId="31" fillId="24" borderId="0" xfId="0" applyNumberFormat="1" applyFont="1" applyFill="1" applyAlignment="1">
      <alignment horizontal="center"/>
    </xf>
    <xf numFmtId="164" fontId="31" fillId="0" borderId="0" xfId="0" applyNumberFormat="1" applyFont="1" applyAlignment="1">
      <alignment horizontal="center"/>
    </xf>
    <xf numFmtId="0" fontId="45" fillId="28" borderId="0" xfId="0" applyFont="1" applyFill="1" applyAlignment="1">
      <alignment horizontal="center"/>
    </xf>
    <xf numFmtId="0" fontId="45" fillId="21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9" fontId="37" fillId="0" borderId="8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46" fillId="27" borderId="0" xfId="0" applyFont="1" applyFill="1" applyAlignment="1">
      <alignment vertical="center" wrapText="1"/>
    </xf>
    <xf numFmtId="0" fontId="47" fillId="0" borderId="0" xfId="0" applyFont="1" applyAlignment="1">
      <alignment vertical="top" wrapText="1"/>
    </xf>
    <xf numFmtId="0" fontId="41" fillId="21" borderId="0" xfId="0" applyFont="1" applyFill="1" applyAlignment="1">
      <alignment vertical="center" wrapText="1"/>
    </xf>
    <xf numFmtId="0" fontId="37" fillId="0" borderId="0" xfId="0" applyFont="1" applyAlignment="1">
      <alignment vertical="top" wrapText="1"/>
    </xf>
    <xf numFmtId="0" fontId="48" fillId="0" borderId="0" xfId="0" applyFont="1" applyAlignment="1">
      <alignment vertical="top" wrapText="1"/>
    </xf>
    <xf numFmtId="0" fontId="42" fillId="25" borderId="0" xfId="0" applyFont="1" applyFill="1" applyAlignment="1">
      <alignment vertical="top" wrapText="1"/>
    </xf>
    <xf numFmtId="0" fontId="6" fillId="0" borderId="1" xfId="0" quotePrefix="1" applyFont="1" applyBorder="1" applyAlignment="1">
      <alignment horizontal="left" vertical="top" wrapText="1"/>
    </xf>
    <xf numFmtId="0" fontId="26" fillId="20" borderId="8" xfId="0" applyFont="1" applyFill="1" applyBorder="1" applyAlignment="1">
      <alignment horizontal="left" vertical="top" wrapText="1"/>
    </xf>
    <xf numFmtId="0" fontId="27" fillId="19" borderId="8" xfId="0" applyFont="1" applyFill="1" applyBorder="1" applyAlignment="1">
      <alignment horizontal="left"/>
    </xf>
    <xf numFmtId="0" fontId="28" fillId="18" borderId="8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left"/>
    </xf>
    <xf numFmtId="0" fontId="3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18" fillId="5" borderId="4" xfId="0" applyFont="1" applyFill="1" applyBorder="1" applyAlignment="1">
      <alignment horizontal="center" vertical="center" wrapText="1"/>
    </xf>
    <xf numFmtId="0" fontId="49" fillId="2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49" fillId="22" borderId="3" xfId="0" applyFont="1" applyFill="1" applyBorder="1" applyAlignment="1">
      <alignment horizontal="center" vertical="center" wrapText="1"/>
    </xf>
    <xf numFmtId="165" fontId="50" fillId="24" borderId="3" xfId="0" applyNumberFormat="1" applyFont="1" applyFill="1" applyBorder="1" applyAlignment="1">
      <alignment horizontal="center" vertical="center" wrapText="1"/>
    </xf>
    <xf numFmtId="165" fontId="50" fillId="24" borderId="2" xfId="0" applyNumberFormat="1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 wrapText="1"/>
    </xf>
    <xf numFmtId="0" fontId="51" fillId="0" borderId="2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4" fillId="18" borderId="3" xfId="0" applyFont="1" applyFill="1" applyBorder="1" applyAlignment="1">
      <alignment horizontal="center" vertical="center" wrapText="1"/>
    </xf>
    <xf numFmtId="0" fontId="54" fillId="18" borderId="2" xfId="0" applyFont="1" applyFill="1" applyBorder="1" applyAlignment="1">
      <alignment horizontal="center" vertical="center" wrapText="1"/>
    </xf>
    <xf numFmtId="0" fontId="55" fillId="0" borderId="3" xfId="0" applyFont="1" applyBorder="1" applyAlignment="1">
      <alignment horizontal="left" vertical="center" wrapText="1"/>
    </xf>
    <xf numFmtId="0" fontId="55" fillId="0" borderId="4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left" vertical="center" wrapText="1"/>
    </xf>
    <xf numFmtId="0" fontId="55" fillId="0" borderId="1" xfId="0" applyFont="1" applyBorder="1" applyAlignment="1">
      <alignment horizontal="center" vertical="center" wrapText="1"/>
    </xf>
    <xf numFmtId="49" fontId="57" fillId="21" borderId="1" xfId="0" applyNumberFormat="1" applyFont="1" applyFill="1" applyBorder="1" applyAlignment="1">
      <alignment horizontal="center" vertical="center" textRotation="90" wrapText="1"/>
    </xf>
    <xf numFmtId="0" fontId="51" fillId="24" borderId="1" xfId="0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/>
    </xf>
    <xf numFmtId="164" fontId="59" fillId="0" borderId="0" xfId="0" applyNumberFormat="1" applyFont="1" applyAlignment="1">
      <alignment horizontal="center"/>
    </xf>
    <xf numFmtId="0" fontId="53" fillId="23" borderId="1" xfId="0" applyFont="1" applyFill="1" applyBorder="1" applyAlignment="1">
      <alignment horizontal="center" vertical="center" wrapText="1"/>
    </xf>
    <xf numFmtId="0" fontId="56" fillId="24" borderId="1" xfId="0" applyFont="1" applyFill="1" applyBorder="1" applyAlignment="1">
      <alignment horizontal="center" vertical="center" wrapText="1"/>
    </xf>
    <xf numFmtId="0" fontId="60" fillId="22" borderId="2" xfId="0" applyFont="1" applyFill="1" applyBorder="1" applyAlignment="1">
      <alignment horizontal="center" vertical="center" wrapText="1"/>
    </xf>
    <xf numFmtId="0" fontId="58" fillId="0" borderId="2" xfId="0" applyFont="1" applyBorder="1" applyAlignment="1">
      <alignment horizontal="left" vertical="center" wrapText="1"/>
    </xf>
    <xf numFmtId="0" fontId="51" fillId="0" borderId="2" xfId="0" applyFont="1" applyBorder="1" applyAlignment="1">
      <alignment horizontal="left" vertical="top" wrapText="1"/>
    </xf>
    <xf numFmtId="165" fontId="61" fillId="0" borderId="3" xfId="0" applyNumberFormat="1" applyFont="1" applyBorder="1" applyAlignment="1">
      <alignment horizontal="center"/>
    </xf>
    <xf numFmtId="165" fontId="61" fillId="0" borderId="2" xfId="0" applyNumberFormat="1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58" fillId="0" borderId="2" xfId="0" applyFont="1" applyBorder="1" applyAlignment="1">
      <alignment horizontal="center"/>
    </xf>
    <xf numFmtId="0" fontId="52" fillId="18" borderId="2" xfId="0" applyFont="1" applyFill="1" applyBorder="1" applyAlignment="1">
      <alignment horizontal="center" vertical="center" wrapText="1"/>
    </xf>
    <xf numFmtId="0" fontId="55" fillId="0" borderId="3" xfId="0" applyFont="1" applyBorder="1" applyAlignment="1">
      <alignment horizontal="left"/>
    </xf>
    <xf numFmtId="0" fontId="55" fillId="0" borderId="2" xfId="0" applyFont="1" applyBorder="1" applyAlignment="1">
      <alignment horizontal="left"/>
    </xf>
    <xf numFmtId="0" fontId="58" fillId="24" borderId="1" xfId="0" applyFont="1" applyFill="1" applyBorder="1" applyAlignment="1">
      <alignment horizontal="center" vertical="center" wrapText="1"/>
    </xf>
    <xf numFmtId="0" fontId="60" fillId="22" borderId="3" xfId="0" applyFont="1" applyFill="1" applyBorder="1" applyAlignment="1">
      <alignment horizontal="center" vertical="center" wrapText="1"/>
    </xf>
    <xf numFmtId="0" fontId="58" fillId="0" borderId="3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top" wrapText="1"/>
    </xf>
    <xf numFmtId="0" fontId="52" fillId="18" borderId="3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51" fillId="29" borderId="3" xfId="0" applyFont="1" applyFill="1" applyBorder="1" applyAlignment="1">
      <alignment horizontal="left" vertical="center" wrapText="1"/>
    </xf>
    <xf numFmtId="0" fontId="60" fillId="5" borderId="1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left" vertical="center" wrapText="1"/>
    </xf>
    <xf numFmtId="0" fontId="60" fillId="16" borderId="1" xfId="0" applyFont="1" applyFill="1" applyBorder="1" applyAlignment="1">
      <alignment horizontal="center" vertical="center" wrapText="1"/>
    </xf>
    <xf numFmtId="0" fontId="51" fillId="16" borderId="1" xfId="0" applyFont="1" applyFill="1" applyBorder="1" applyAlignment="1">
      <alignment horizontal="left" vertical="center" wrapText="1"/>
    </xf>
    <xf numFmtId="0" fontId="58" fillId="24" borderId="1" xfId="0" applyFont="1" applyFill="1" applyBorder="1" applyAlignment="1">
      <alignment horizontal="left" vertical="top" wrapText="1"/>
    </xf>
    <xf numFmtId="0" fontId="57" fillId="21" borderId="1" xfId="0" applyFont="1" applyFill="1" applyBorder="1" applyAlignment="1">
      <alignment horizontal="center" vertical="center" wrapText="1"/>
    </xf>
    <xf numFmtId="0" fontId="51" fillId="24" borderId="1" xfId="0" applyFont="1" applyFill="1" applyBorder="1" applyAlignment="1">
      <alignment horizontal="left" vertical="top" wrapText="1"/>
    </xf>
    <xf numFmtId="0" fontId="62" fillId="24" borderId="1" xfId="0" applyFont="1" applyFill="1" applyBorder="1" applyAlignment="1">
      <alignment horizontal="left" vertical="top" wrapText="1"/>
    </xf>
    <xf numFmtId="9" fontId="55" fillId="24" borderId="1" xfId="0" applyNumberFormat="1" applyFont="1" applyFill="1" applyBorder="1" applyAlignment="1">
      <alignment horizontal="left" vertical="top" wrapText="1"/>
    </xf>
    <xf numFmtId="0" fontId="63" fillId="25" borderId="0" xfId="0" applyFont="1" applyFill="1" applyAlignment="1">
      <alignment horizontal="left"/>
    </xf>
    <xf numFmtId="49" fontId="15" fillId="3" borderId="1" xfId="0" applyNumberFormat="1" applyFont="1" applyFill="1" applyBorder="1" applyAlignment="1">
      <alignment horizontal="center" vertical="center" textRotation="90" wrapText="1"/>
    </xf>
    <xf numFmtId="0" fontId="6" fillId="24" borderId="1" xfId="0" applyFont="1" applyFill="1" applyBorder="1" applyAlignment="1">
      <alignment horizontal="center" vertical="center" wrapText="1"/>
    </xf>
    <xf numFmtId="0" fontId="13" fillId="24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64" fillId="20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indent="1"/>
    </xf>
    <xf numFmtId="0" fontId="20" fillId="0" borderId="2" xfId="0" applyFont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indent="1"/>
    </xf>
    <xf numFmtId="0" fontId="15" fillId="13" borderId="2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 vertical="center"/>
    </xf>
    <xf numFmtId="0" fontId="15" fillId="14" borderId="9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4" fillId="14" borderId="0" xfId="0" applyFont="1" applyFill="1" applyAlignment="1">
      <alignment horizontal="left" vertical="center" indent="1"/>
    </xf>
    <xf numFmtId="0" fontId="14" fillId="12" borderId="0" xfId="0" applyFont="1" applyFill="1" applyAlignment="1">
      <alignment horizontal="left" vertical="center" inden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center" indent="1"/>
    </xf>
    <xf numFmtId="0" fontId="21" fillId="0" borderId="2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center" indent="1"/>
    </xf>
    <xf numFmtId="0" fontId="2" fillId="3" borderId="2" xfId="0" applyFont="1" applyFill="1" applyBorder="1" applyAlignment="1">
      <alignment horizontal="left" vertical="top" wrapText="1"/>
    </xf>
    <xf numFmtId="0" fontId="2" fillId="14" borderId="2" xfId="0" applyFont="1" applyFill="1" applyBorder="1" applyAlignment="1">
      <alignment horizontal="left" vertical="top" wrapText="1"/>
    </xf>
    <xf numFmtId="0" fontId="2" fillId="12" borderId="2" xfId="0" applyFont="1" applyFill="1" applyBorder="1" applyAlignment="1">
      <alignment horizontal="left" vertical="top" wrapText="1"/>
    </xf>
    <xf numFmtId="0" fontId="7" fillId="17" borderId="0" xfId="0" applyFont="1" applyFill="1" applyAlignment="1">
      <alignment horizontal="left" vertical="center" indent="1"/>
    </xf>
    <xf numFmtId="0" fontId="2" fillId="1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80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80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80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80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i val="0"/>
        <color rgb="FF0000FF"/>
      </font>
      <fill>
        <patternFill patternType="solid">
          <fgColor indexed="64"/>
          <bgColor rgb="FFFFFFFF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806000"/>
      </font>
      <fill>
        <patternFill patternType="solid">
          <fgColor indexed="64"/>
          <bgColor rgb="FFFFF2C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8060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8060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000"/>
      <rgbColor rgb="FF800080"/>
      <rgbColor rgb="FF1F6F6F"/>
      <rgbColor rgb="FFBFBFBF"/>
      <rgbColor rgb="FF7F6000"/>
      <rgbColor rgb="FF9999FF"/>
      <rgbColor rgb="FF9C6500"/>
      <rgbColor rgb="FFFFF2CC"/>
      <rgbColor rgb="FFEAF0FB"/>
      <rgbColor rgb="FF5B2C6F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1F4E2E"/>
      <rgbColor rgb="FF7F4F1F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8DC0F1-0B17-4249-9F1A-B66D5268816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5eb966d-28a4-4975-bdb7-9db94f94d9d4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topLeftCell="A15" zoomScaleNormal="100" workbookViewId="0">
      <selection activeCell="D31" sqref="D31"/>
    </sheetView>
  </sheetViews>
  <sheetFormatPr defaultColWidth="8.7109375" defaultRowHeight="15" x14ac:dyDescent="0.25"/>
  <cols>
    <col min="1" max="1" width="3" customWidth="1"/>
    <col min="2" max="2" width="30" customWidth="1"/>
    <col min="3" max="3" width="98" customWidth="1"/>
  </cols>
  <sheetData>
    <row r="2" spans="2:3" ht="30" customHeight="1" x14ac:dyDescent="0.25">
      <c r="B2" s="188" t="s">
        <v>324</v>
      </c>
      <c r="C2" s="188"/>
    </row>
    <row r="3" spans="2:3" ht="30" customHeight="1" x14ac:dyDescent="0.25">
      <c r="B3" s="189" t="s">
        <v>456</v>
      </c>
      <c r="C3" s="189"/>
    </row>
    <row r="5" spans="2:3" ht="15" customHeight="1" x14ac:dyDescent="0.25">
      <c r="B5" s="1" t="s">
        <v>0</v>
      </c>
      <c r="C5" s="2" t="s">
        <v>1</v>
      </c>
    </row>
    <row r="6" spans="2:3" ht="15" customHeight="1" x14ac:dyDescent="0.25">
      <c r="B6" s="1" t="s">
        <v>2</v>
      </c>
      <c r="C6" s="2" t="s">
        <v>1</v>
      </c>
    </row>
    <row r="7" spans="2:3" ht="15" customHeight="1" x14ac:dyDescent="0.25">
      <c r="B7" s="1" t="s">
        <v>3</v>
      </c>
      <c r="C7" s="2" t="s">
        <v>1</v>
      </c>
    </row>
    <row r="8" spans="2:3" ht="15" customHeight="1" x14ac:dyDescent="0.25">
      <c r="B8" s="1" t="s">
        <v>4</v>
      </c>
      <c r="C8" s="2" t="s">
        <v>1</v>
      </c>
    </row>
    <row r="9" spans="2:3" ht="15" customHeight="1" x14ac:dyDescent="0.25">
      <c r="B9" s="1" t="s">
        <v>5</v>
      </c>
      <c r="C9" s="2" t="s">
        <v>1</v>
      </c>
    </row>
    <row r="10" spans="2:3" ht="15" customHeight="1" x14ac:dyDescent="0.25">
      <c r="B10" s="1" t="s">
        <v>6</v>
      </c>
      <c r="C10" s="2" t="s">
        <v>1</v>
      </c>
    </row>
    <row r="11" spans="2:3" ht="15" customHeight="1" x14ac:dyDescent="0.25">
      <c r="B11" s="1" t="s">
        <v>7</v>
      </c>
      <c r="C11" s="2">
        <v>2</v>
      </c>
    </row>
    <row r="13" spans="2:3" ht="21.75" customHeight="1" x14ac:dyDescent="0.25">
      <c r="B13" s="190" t="s">
        <v>8</v>
      </c>
      <c r="C13" s="190"/>
    </row>
    <row r="14" spans="2:3" ht="45.75" customHeight="1" x14ac:dyDescent="0.25">
      <c r="B14" s="3" t="s">
        <v>9</v>
      </c>
      <c r="C14" s="4" t="s">
        <v>413</v>
      </c>
    </row>
    <row r="15" spans="2:3" ht="45.75" customHeight="1" x14ac:dyDescent="0.25">
      <c r="B15" s="3" t="s">
        <v>10</v>
      </c>
      <c r="C15" s="4" t="s">
        <v>414</v>
      </c>
    </row>
    <row r="16" spans="2:3" ht="45.75" customHeight="1" x14ac:dyDescent="0.25">
      <c r="B16" s="3" t="s">
        <v>11</v>
      </c>
      <c r="C16" s="4" t="s">
        <v>418</v>
      </c>
    </row>
    <row r="17" spans="2:3" ht="45.75" customHeight="1" x14ac:dyDescent="0.25">
      <c r="B17" s="3" t="s">
        <v>12</v>
      </c>
      <c r="C17" s="4" t="s">
        <v>13</v>
      </c>
    </row>
    <row r="18" spans="2:3" ht="45.75" customHeight="1" x14ac:dyDescent="0.25">
      <c r="B18" s="3" t="s">
        <v>14</v>
      </c>
      <c r="C18" s="4" t="s">
        <v>15</v>
      </c>
    </row>
    <row r="19" spans="2:3" ht="45.75" customHeight="1" x14ac:dyDescent="0.25">
      <c r="B19" s="3" t="s">
        <v>16</v>
      </c>
      <c r="C19" s="108" t="s">
        <v>417</v>
      </c>
    </row>
    <row r="21" spans="2:3" ht="15" customHeight="1" x14ac:dyDescent="0.25">
      <c r="B21" s="191" t="s">
        <v>17</v>
      </c>
      <c r="C21" s="191"/>
    </row>
    <row r="22" spans="2:3" ht="30" customHeight="1" x14ac:dyDescent="0.25">
      <c r="B22" s="5" t="s">
        <v>18</v>
      </c>
      <c r="C22" s="4" t="s">
        <v>19</v>
      </c>
    </row>
    <row r="23" spans="2:3" ht="30" customHeight="1" x14ac:dyDescent="0.25">
      <c r="B23" s="5" t="s">
        <v>18</v>
      </c>
      <c r="C23" s="4" t="s">
        <v>415</v>
      </c>
    </row>
    <row r="24" spans="2:3" ht="30" customHeight="1" x14ac:dyDescent="0.25">
      <c r="B24" s="5" t="s">
        <v>18</v>
      </c>
      <c r="C24" s="4" t="s">
        <v>416</v>
      </c>
    </row>
    <row r="27" spans="2:3" x14ac:dyDescent="0.25">
      <c r="B27" s="114"/>
      <c r="C27" s="114" t="s">
        <v>457</v>
      </c>
    </row>
  </sheetData>
  <mergeCells count="4">
    <mergeCell ref="B2:C2"/>
    <mergeCell ref="B3:C3"/>
    <mergeCell ref="B13:C13"/>
    <mergeCell ref="B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2"/>
  <sheetViews>
    <sheetView showGridLines="0" zoomScaleNormal="100" workbookViewId="0">
      <selection activeCell="L31" sqref="L31"/>
    </sheetView>
  </sheetViews>
  <sheetFormatPr defaultColWidth="8.7109375" defaultRowHeight="15" x14ac:dyDescent="0.25"/>
  <cols>
    <col min="1" max="1" width="3" customWidth="1"/>
    <col min="2" max="2" width="28" customWidth="1"/>
    <col min="3" max="3" width="12" customWidth="1"/>
    <col min="4" max="4" width="4" customWidth="1"/>
    <col min="5" max="5" width="28" customWidth="1"/>
    <col min="6" max="6" width="12" customWidth="1"/>
    <col min="9" max="9" width="11.5703125" customWidth="1"/>
    <col min="10" max="10" width="16.7109375" bestFit="1" customWidth="1"/>
    <col min="11" max="12" width="10.7109375" bestFit="1" customWidth="1"/>
  </cols>
  <sheetData>
    <row r="2" spans="2:12" ht="25.5" customHeight="1" x14ac:dyDescent="0.25">
      <c r="B2" s="192" t="s">
        <v>400</v>
      </c>
      <c r="C2" s="192"/>
      <c r="D2" s="192"/>
      <c r="E2" s="192"/>
      <c r="F2" s="192"/>
    </row>
    <row r="4" spans="2:12" ht="15" customHeight="1" x14ac:dyDescent="0.25">
      <c r="B4" s="1" t="s">
        <v>20</v>
      </c>
      <c r="C4" s="6">
        <f>COUNTA('Risk Register'!A4:A12)</f>
        <v>9</v>
      </c>
      <c r="E4" s="1" t="s">
        <v>21</v>
      </c>
      <c r="F4" s="6">
        <f>COUNTA('Build Controls'!A4:A100)+COUNTA('Release Controls'!A4:A100)+COUNTA('Runtime Controls'!A4:A100)+COUNTA('Lifecycle Controls'!A4:A100)</f>
        <v>29</v>
      </c>
      <c r="I4" s="109" t="s">
        <v>273</v>
      </c>
      <c r="J4" s="110" t="s">
        <v>245</v>
      </c>
      <c r="K4" s="111" t="s">
        <v>322</v>
      </c>
      <c r="L4" s="112" t="s">
        <v>66</v>
      </c>
    </row>
    <row r="5" spans="2:12" x14ac:dyDescent="0.25">
      <c r="I5" s="113" t="str" cm="1">
        <f t="array" ref="I5:I6">IFERROR(_xlfn._xlws.FILTER(_xlfn.VSTACK('Build Controls'!A4:A9,'Release Controls'!A4:A10,'Runtime Controls'!A4:A9,'Lifecycle Controls'!A4:A6),_xlfn.VSTACK('Build Controls'!I4:I9,'Release Controls'!I4:I10,'Runtime Controls'!I4:I9,'Lifecycle Controls'!I4:I6)=I$4,"—"),"—")</f>
        <v>CTRL-0007</v>
      </c>
      <c r="J5" s="113" t="str" cm="1">
        <f t="array" ref="J5">IFERROR(_xlfn._xlws.FILTER(_xlfn.VSTACK('Build Controls'!A4:A9,'Release Controls'!A4:A10,'Runtime Controls'!A4:A9,'Lifecycle Controls'!A4:A6),_xlfn.VSTACK('Build Controls'!I4:I9,'Release Controls'!I4:I10,'Runtime Controls'!I4:I9,'Lifecycle Controls'!I4:I6)=J$4,"—"),"—")</f>
        <v>—</v>
      </c>
      <c r="K5" s="113" t="str" cm="1">
        <f t="array" ref="K5:K16">IFERROR(_xlfn._xlws.FILTER(_xlfn.VSTACK('Build Controls'!A4:A9,'Release Controls'!A4:A10,'Runtime Controls'!A4:A9,'Lifecycle Controls'!A4:A6),_xlfn.VSTACK('Build Controls'!I4:I9,'Release Controls'!I4:I10,'Runtime Controls'!I4:I9,'Lifecycle Controls'!I4:I6)=K$4,"—"),"—")</f>
        <v>CTRL-0001</v>
      </c>
      <c r="L5" s="113" t="str" cm="1">
        <f t="array" ref="L5:L12">IFERROR(_xlfn._xlws.FILTER(_xlfn.VSTACK('Build Controls'!A4:A9,'Release Controls'!A4:A10,'Runtime Controls'!A4:A9,'Lifecycle Controls'!A4:A6),_xlfn.VSTACK('Build Controls'!I4:I9,'Release Controls'!I4:I10,'Runtime Controls'!I4:I9,'Lifecycle Controls'!I4:I6)=L$4,"—"),"—")</f>
        <v>CTRL-0005</v>
      </c>
    </row>
    <row r="6" spans="2:12" ht="15" customHeight="1" x14ac:dyDescent="0.25">
      <c r="B6" s="7" t="s">
        <v>22</v>
      </c>
      <c r="C6" s="8" t="s">
        <v>23</v>
      </c>
      <c r="E6" s="7" t="s">
        <v>24</v>
      </c>
      <c r="F6" s="8" t="s">
        <v>23</v>
      </c>
      <c r="I6" s="113" t="str">
        <v>CTRL-0019</v>
      </c>
      <c r="J6" s="113"/>
      <c r="K6" s="113" t="str">
        <v>CTRL-0002</v>
      </c>
      <c r="L6" s="113" t="str">
        <v>CTRL-0008</v>
      </c>
    </row>
    <row r="7" spans="2:12" ht="15" customHeight="1" x14ac:dyDescent="0.25">
      <c r="B7" s="9" t="s">
        <v>25</v>
      </c>
      <c r="C7" s="5">
        <f>COUNTIF('Risk Register'!$N$4:$N$12,"Critical")</f>
        <v>5</v>
      </c>
      <c r="E7" s="9" t="s">
        <v>25</v>
      </c>
      <c r="F7" s="5">
        <f>COUNTIF('Risk Register'!$I$4:$I$12,"Critical")</f>
        <v>6</v>
      </c>
      <c r="I7" s="113"/>
      <c r="J7" s="113"/>
      <c r="K7" s="113" t="str">
        <v>CTRL-0003</v>
      </c>
      <c r="L7" s="113" t="str">
        <v>CTRL-0010</v>
      </c>
    </row>
    <row r="8" spans="2:12" ht="15" customHeight="1" x14ac:dyDescent="0.25">
      <c r="B8" s="10" t="s">
        <v>26</v>
      </c>
      <c r="C8" s="5">
        <f>COUNTIF('Risk Register'!$N$4:$N$12,"High")</f>
        <v>3</v>
      </c>
      <c r="E8" s="10" t="s">
        <v>26</v>
      </c>
      <c r="F8" s="5">
        <f>COUNTIF('Risk Register'!$I$4:$I$12,"High")</f>
        <v>3</v>
      </c>
      <c r="I8" s="113"/>
      <c r="J8" s="113"/>
      <c r="K8" s="113" t="str">
        <v>CTRL-0004</v>
      </c>
      <c r="L8" s="113" t="str">
        <v>CTRL-0023</v>
      </c>
    </row>
    <row r="9" spans="2:12" ht="15" customHeight="1" x14ac:dyDescent="0.25">
      <c r="B9" s="11" t="s">
        <v>27</v>
      </c>
      <c r="C9" s="5">
        <f>COUNTIF('Risk Register'!$N$4:$N$12,"Medium")</f>
        <v>1</v>
      </c>
      <c r="E9" s="11" t="s">
        <v>27</v>
      </c>
      <c r="F9" s="5">
        <f>COUNTIF('Risk Register'!$I$4:$I$12,"Medium")</f>
        <v>0</v>
      </c>
      <c r="I9" s="113"/>
      <c r="J9" s="113"/>
      <c r="K9" s="113" t="str">
        <v>CTRL-0006</v>
      </c>
      <c r="L9" s="113" t="str">
        <v>CTRL-0012</v>
      </c>
    </row>
    <row r="10" spans="2:12" ht="15" customHeight="1" x14ac:dyDescent="0.25">
      <c r="B10" s="12" t="s">
        <v>28</v>
      </c>
      <c r="C10" s="5">
        <f>COUNTIF('Risk Register'!$N$4:$N$12,"Low")</f>
        <v>0</v>
      </c>
      <c r="E10" s="12" t="s">
        <v>28</v>
      </c>
      <c r="F10" s="5">
        <f>COUNTIF('Risk Register'!$I$4:$I$12,"Low")</f>
        <v>0</v>
      </c>
      <c r="I10" s="113"/>
      <c r="J10" s="113"/>
      <c r="K10" s="113" t="str">
        <v>CTRL-0020</v>
      </c>
      <c r="L10" s="113" t="str">
        <v>CTRL-0018</v>
      </c>
    </row>
    <row r="11" spans="2:12" x14ac:dyDescent="0.25">
      <c r="I11" s="113"/>
      <c r="J11" s="113"/>
      <c r="K11" s="113" t="str">
        <v>CTRL-0021</v>
      </c>
      <c r="L11" s="113" t="str">
        <v>CTRL-0017</v>
      </c>
    </row>
    <row r="12" spans="2:12" ht="15" customHeight="1" x14ac:dyDescent="0.25">
      <c r="B12" s="7" t="s">
        <v>29</v>
      </c>
      <c r="C12" s="8" t="s">
        <v>23</v>
      </c>
      <c r="E12" s="7" t="s">
        <v>30</v>
      </c>
      <c r="F12" s="8" t="s">
        <v>23</v>
      </c>
      <c r="I12" s="113"/>
      <c r="J12" s="113"/>
      <c r="K12" s="113" t="str">
        <v>CTRL-0022</v>
      </c>
      <c r="L12" s="113" t="str">
        <v>CTRL-0011</v>
      </c>
    </row>
    <row r="13" spans="2:12" ht="15" customHeight="1" x14ac:dyDescent="0.25">
      <c r="B13" s="13" t="s">
        <v>31</v>
      </c>
      <c r="C13" s="5">
        <f>COUNTIF('Build Controls'!$H$4:$H$100,"Implemented")+COUNTIF('Release Controls'!$H$4:$H$100,"Implemented")+COUNTIF('Runtime Controls'!$H$4:$H$100,"Implemented")+COUNTIF('Lifecycle Controls'!$H$4:$H$100,"Implemented")</f>
        <v>7</v>
      </c>
      <c r="E13" s="13" t="s">
        <v>32</v>
      </c>
      <c r="F13" s="5">
        <f>COUNTA('Build Controls'!A4:A100)</f>
        <v>9</v>
      </c>
      <c r="I13" s="113"/>
      <c r="J13" s="113"/>
      <c r="K13" s="113" t="str">
        <v>CTRL-0013</v>
      </c>
      <c r="L13" s="113"/>
    </row>
    <row r="14" spans="2:12" ht="15" customHeight="1" x14ac:dyDescent="0.25">
      <c r="B14" s="13" t="s">
        <v>33</v>
      </c>
      <c r="C14" s="5">
        <f>COUNTIF('Build Controls'!$H$4:$H$100,"Partially Implemented")+COUNTIF('Release Controls'!$H$4:$H$100,"Partially Implemented")+COUNTIF('Runtime Controls'!$H$4:$H$100,"Partially Implemented")+COUNTIF('Lifecycle Controls'!$H$4:$H$100,"Partially Implemented")</f>
        <v>1</v>
      </c>
      <c r="E14" s="13" t="s">
        <v>34</v>
      </c>
      <c r="F14" s="5">
        <f>COUNTA('Release Controls'!A4:A100)</f>
        <v>8</v>
      </c>
      <c r="I14" s="113"/>
      <c r="J14" s="113"/>
      <c r="K14" s="113" t="str">
        <v>CTRL-0014</v>
      </c>
      <c r="L14" s="113"/>
    </row>
    <row r="15" spans="2:12" ht="15" customHeight="1" x14ac:dyDescent="0.25">
      <c r="B15" s="13" t="s">
        <v>35</v>
      </c>
      <c r="C15" s="5">
        <f>COUNTIF('Build Controls'!$H$4:$H$100,"Planned")+COUNTIF('Release Controls'!$H$4:$H$100,"Planned")+COUNTIF('Runtime Controls'!$H$4:$H$100,"Planned")+COUNTIF('Lifecycle Controls'!$H$4:$H$100,"Planned")</f>
        <v>1</v>
      </c>
      <c r="E15" s="13" t="s">
        <v>36</v>
      </c>
      <c r="F15" s="5">
        <f>COUNTA('Runtime Controls'!A4:A100)</f>
        <v>7</v>
      </c>
      <c r="I15" s="113"/>
      <c r="J15" s="113"/>
      <c r="K15" s="113" t="str">
        <v>CTRL-0015</v>
      </c>
      <c r="L15" s="113"/>
    </row>
    <row r="16" spans="2:12" ht="15" customHeight="1" x14ac:dyDescent="0.25">
      <c r="B16" s="13" t="s">
        <v>37</v>
      </c>
      <c r="C16" s="5">
        <f>COUNTIF('Build Controls'!$H$4:$H$100,"Not Implemented")+COUNTIF('Release Controls'!$H$4:$H$100,"Not Implemented")+COUNTIF('Runtime Controls'!$H$4:$H$100,"Not Implemented")+COUNTIF('Lifecycle Controls'!$H$4:$H$100,"Not Implemented")</f>
        <v>20</v>
      </c>
      <c r="E16" s="13" t="s">
        <v>38</v>
      </c>
      <c r="F16" s="5">
        <f>COUNTA('Lifecycle Controls'!A4:A100)</f>
        <v>5</v>
      </c>
      <c r="I16" s="113"/>
      <c r="J16" s="113"/>
      <c r="K16" s="113" t="str">
        <v>CTRL-0016</v>
      </c>
      <c r="L16" s="113"/>
    </row>
    <row r="17" spans="2:12" x14ac:dyDescent="0.25">
      <c r="I17" s="113"/>
      <c r="J17" s="113"/>
      <c r="K17" s="113"/>
      <c r="L17" s="113"/>
    </row>
    <row r="18" spans="2:12" x14ac:dyDescent="0.25">
      <c r="B18" s="60" t="s">
        <v>321</v>
      </c>
      <c r="C18" s="63" t="s">
        <v>23</v>
      </c>
      <c r="I18" s="113"/>
      <c r="J18" s="113"/>
      <c r="K18" s="113"/>
      <c r="L18" s="113"/>
    </row>
    <row r="19" spans="2:12" x14ac:dyDescent="0.25">
      <c r="B19" s="62" t="s">
        <v>273</v>
      </c>
      <c r="C19" s="66">
        <f>COUNTIF('Build Controls'!$I$4:$I$100,$B19)+COUNTIF('Release Controls'!$I$4:$I$100,$B19)+COUNTIF('Runtime Controls'!$I$4:$I$100,$B19)+COUNTIF('Lifecycle Controls'!$I$4:$I$100,$B19)</f>
        <v>3</v>
      </c>
      <c r="I19" s="113"/>
      <c r="J19" s="113"/>
      <c r="K19" s="113"/>
      <c r="L19" s="113"/>
    </row>
    <row r="20" spans="2:12" x14ac:dyDescent="0.25">
      <c r="B20" s="65" t="s">
        <v>245</v>
      </c>
      <c r="C20" s="66">
        <f>COUNTIF('Build Controls'!$I$4:$I$100,$B20)+COUNTIF('Release Controls'!$I$4:$I$100,$B20)+COUNTIF('Runtime Controls'!$I$4:$I$100,$B20)+COUNTIF('Lifecycle Controls'!$I$4:$I$100,$B20)</f>
        <v>2</v>
      </c>
      <c r="I20" s="113"/>
      <c r="J20" s="113"/>
      <c r="K20" s="113"/>
      <c r="L20" s="113"/>
    </row>
    <row r="21" spans="2:12" x14ac:dyDescent="0.25">
      <c r="B21" s="67" t="s">
        <v>322</v>
      </c>
      <c r="C21" s="66">
        <f>COUNTIF('Build Controls'!$I$4:$I$100,$B21)+COUNTIF('Release Controls'!$I$4:$I$100,$B21)+COUNTIF('Runtime Controls'!$I$4:$I$100,$B21)+COUNTIF('Lifecycle Controls'!$I$4:$I$100,$B21)</f>
        <v>16</v>
      </c>
    </row>
    <row r="22" spans="2:12" x14ac:dyDescent="0.25">
      <c r="B22" s="61" t="s">
        <v>66</v>
      </c>
      <c r="C22" s="64">
        <f>COUNTIF('Build Controls'!$I$4:$I$100,$B22)+COUNTIF('Release Controls'!$I$4:$I$100,$B22)+COUNTIF('Runtime Controls'!$I$4:$I$100,$B22)+COUNTIF('Lifecycle Controls'!$I$4:$I$100,$B22)</f>
        <v>8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"/>
  <sheetViews>
    <sheetView showGridLines="0" zoomScaleNormal="100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U4" sqref="U4"/>
    </sheetView>
  </sheetViews>
  <sheetFormatPr defaultColWidth="8.7109375" defaultRowHeight="15" x14ac:dyDescent="0.25"/>
  <cols>
    <col min="1" max="1" width="13" customWidth="1"/>
    <col min="2" max="2" width="24" customWidth="1"/>
    <col min="3" max="3" width="50" customWidth="1"/>
    <col min="4" max="4" width="24" customWidth="1"/>
    <col min="5" max="5" width="15.42578125" customWidth="1"/>
    <col min="6" max="7" width="6" customWidth="1"/>
    <col min="8" max="8" width="8" customWidth="1"/>
    <col min="9" max="9" width="11" customWidth="1"/>
    <col min="10" max="10" width="13" customWidth="1"/>
    <col min="11" max="12" width="6" customWidth="1"/>
    <col min="13" max="13" width="8" customWidth="1"/>
    <col min="14" max="14" width="11" customWidth="1"/>
    <col min="15" max="15" width="12" customWidth="1"/>
    <col min="16" max="16" width="18" customWidth="1"/>
    <col min="17" max="17" width="30" customWidth="1"/>
    <col min="18" max="18" width="14" customWidth="1"/>
    <col min="19" max="20" width="12" customWidth="1"/>
    <col min="21" max="21" width="15.7109375" bestFit="1" customWidth="1"/>
  </cols>
  <sheetData>
    <row r="1" spans="1:21" ht="25.5" customHeight="1" x14ac:dyDescent="0.25">
      <c r="A1" s="187" t="s">
        <v>419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</row>
    <row r="2" spans="1:21" ht="15.75" customHeight="1" x14ac:dyDescent="0.25">
      <c r="A2" s="184" t="s">
        <v>39</v>
      </c>
      <c r="B2" s="184"/>
      <c r="C2" s="184"/>
      <c r="D2" s="184"/>
      <c r="E2" s="184"/>
      <c r="F2" s="185" t="s">
        <v>40</v>
      </c>
      <c r="G2" s="185"/>
      <c r="H2" s="185"/>
      <c r="I2" s="185"/>
      <c r="J2" s="14" t="s">
        <v>41</v>
      </c>
      <c r="K2" s="185" t="s">
        <v>42</v>
      </c>
      <c r="L2" s="185"/>
      <c r="M2" s="185"/>
      <c r="N2" s="185"/>
      <c r="O2" s="186" t="s">
        <v>43</v>
      </c>
      <c r="P2" s="186"/>
      <c r="Q2" s="186"/>
      <c r="R2" s="186"/>
      <c r="S2" s="186"/>
      <c r="T2" s="186"/>
      <c r="U2" s="97" t="s">
        <v>344</v>
      </c>
    </row>
    <row r="3" spans="1:21" ht="33.75" customHeight="1" x14ac:dyDescent="0.25">
      <c r="A3" s="15" t="s">
        <v>44</v>
      </c>
      <c r="B3" s="15" t="s">
        <v>45</v>
      </c>
      <c r="C3" s="15" t="s">
        <v>46</v>
      </c>
      <c r="D3" s="15" t="s">
        <v>47</v>
      </c>
      <c r="E3" s="15" t="s">
        <v>48</v>
      </c>
      <c r="F3" s="15" t="s">
        <v>49</v>
      </c>
      <c r="G3" s="15" t="s">
        <v>50</v>
      </c>
      <c r="H3" s="15" t="s">
        <v>51</v>
      </c>
      <c r="I3" s="15" t="s">
        <v>52</v>
      </c>
      <c r="J3" s="15" t="s">
        <v>53</v>
      </c>
      <c r="K3" s="15" t="s">
        <v>54</v>
      </c>
      <c r="L3" s="15" t="s">
        <v>55</v>
      </c>
      <c r="M3" s="15" t="s">
        <v>56</v>
      </c>
      <c r="N3" s="15" t="s">
        <v>57</v>
      </c>
      <c r="O3" s="15" t="s">
        <v>58</v>
      </c>
      <c r="P3" s="15" t="s">
        <v>59</v>
      </c>
      <c r="Q3" s="15" t="s">
        <v>60</v>
      </c>
      <c r="R3" s="15" t="s">
        <v>61</v>
      </c>
      <c r="S3" s="15" t="s">
        <v>62</v>
      </c>
      <c r="T3" s="15" t="s">
        <v>63</v>
      </c>
      <c r="U3" s="98" t="s">
        <v>345</v>
      </c>
    </row>
    <row r="4" spans="1:21" ht="57.75" customHeight="1" x14ac:dyDescent="0.25">
      <c r="A4" s="16" t="s">
        <v>420</v>
      </c>
      <c r="B4" s="17" t="s">
        <v>64</v>
      </c>
      <c r="C4" s="4" t="s">
        <v>65</v>
      </c>
      <c r="D4" s="18" t="s">
        <v>484</v>
      </c>
      <c r="E4" s="19">
        <f>COUNTIF('Risk-Control Matrix'!C4:AE4,"X")</f>
        <v>10</v>
      </c>
      <c r="F4" s="20">
        <v>4</v>
      </c>
      <c r="G4" s="20">
        <v>5</v>
      </c>
      <c r="H4" s="19">
        <f t="shared" ref="H4:H12" si="0">F4*G4</f>
        <v>20</v>
      </c>
      <c r="I4" s="19" t="str">
        <f t="shared" ref="I4:I12" si="1">IF(H4="","",IF(H4&gt;=15,"Critical",IF(H4&gt;=8,"High",IF(H4&gt;=4,"Medium","Low"))))</f>
        <v>Critical</v>
      </c>
      <c r="J4" s="21" t="s">
        <v>273</v>
      </c>
      <c r="K4" s="19">
        <f t="shared" ref="K4:K12" si="2">ROUND(F4-(F4-1)*$U4,0)</f>
        <v>4</v>
      </c>
      <c r="L4" s="19">
        <f t="shared" ref="L4:L12" si="3">ROUND(G4-(G4-1)*$U4,0)</f>
        <v>5</v>
      </c>
      <c r="M4" s="19">
        <f t="shared" ref="M4:M12" si="4">K4*L4</f>
        <v>20</v>
      </c>
      <c r="N4" s="19" t="str">
        <f t="shared" ref="N4:N12" si="5">IF(M4="","",IF(M4&gt;=15,"Critical",IF(M4&gt;=8,"High",IF(M4&gt;=4,"Medium","Low"))))</f>
        <v>Critical</v>
      </c>
      <c r="O4" s="21" t="s">
        <v>67</v>
      </c>
      <c r="P4" s="22"/>
      <c r="Q4" s="22"/>
      <c r="R4" s="22"/>
      <c r="S4" s="22"/>
      <c r="T4" s="99" t="s">
        <v>31</v>
      </c>
      <c r="U4" s="100" cm="1">
        <f t="array" ref="U4">IFERROR(SUMPRODUCT(('Risk-Control Matrix'!C4:AE4="X")*'Risk-Control Matrix'!$C$18:$AE$18)/COUNTIF('Risk-Control Matrix'!C4:AE4,"X"),0)</f>
        <v>0</v>
      </c>
    </row>
    <row r="5" spans="1:21" ht="57.75" customHeight="1" x14ac:dyDescent="0.25">
      <c r="A5" s="16" t="s">
        <v>421</v>
      </c>
      <c r="B5" s="17" t="s">
        <v>69</v>
      </c>
      <c r="C5" s="4" t="s">
        <v>70</v>
      </c>
      <c r="D5" s="18" t="s">
        <v>71</v>
      </c>
      <c r="E5" s="19">
        <f>COUNTIF('Risk-Control Matrix'!C5:AE5,"X")</f>
        <v>9</v>
      </c>
      <c r="F5" s="20">
        <v>3</v>
      </c>
      <c r="G5" s="20">
        <v>5</v>
      </c>
      <c r="H5" s="19">
        <f t="shared" si="0"/>
        <v>15</v>
      </c>
      <c r="I5" s="19" t="str">
        <f t="shared" si="1"/>
        <v>Critical</v>
      </c>
      <c r="J5" s="21" t="s">
        <v>66</v>
      </c>
      <c r="K5" s="19">
        <f t="shared" si="2"/>
        <v>3</v>
      </c>
      <c r="L5" s="19">
        <f t="shared" si="3"/>
        <v>5</v>
      </c>
      <c r="M5" s="19">
        <f t="shared" si="4"/>
        <v>15</v>
      </c>
      <c r="N5" s="19" t="str">
        <f t="shared" si="5"/>
        <v>Critical</v>
      </c>
      <c r="O5" s="21" t="s">
        <v>67</v>
      </c>
      <c r="P5" s="22"/>
      <c r="Q5" s="22"/>
      <c r="R5" s="22"/>
      <c r="S5" s="22"/>
      <c r="T5" s="99" t="s">
        <v>68</v>
      </c>
      <c r="U5" s="100" cm="1">
        <f t="array" ref="U5">IFERROR(SUMPRODUCT(('Risk-Control Matrix'!C5:AE5="X")*'Risk-Control Matrix'!$C$18:$AE$18)/COUNTIF('Risk-Control Matrix'!C5:AE5,"X"),0)</f>
        <v>0.1111111111111111</v>
      </c>
    </row>
    <row r="6" spans="1:21" ht="57.75" customHeight="1" x14ac:dyDescent="0.25">
      <c r="A6" s="16" t="s">
        <v>422</v>
      </c>
      <c r="B6" s="17" t="s">
        <v>72</v>
      </c>
      <c r="C6" s="4" t="s">
        <v>73</v>
      </c>
      <c r="D6" s="18" t="s">
        <v>74</v>
      </c>
      <c r="E6" s="19">
        <f>COUNTIF('Risk-Control Matrix'!C6:AE6,"X")</f>
        <v>4</v>
      </c>
      <c r="F6" s="20">
        <v>3</v>
      </c>
      <c r="G6" s="20">
        <v>4</v>
      </c>
      <c r="H6" s="19">
        <f t="shared" si="0"/>
        <v>12</v>
      </c>
      <c r="I6" s="19" t="str">
        <f t="shared" si="1"/>
        <v>High</v>
      </c>
      <c r="J6" s="21" t="s">
        <v>66</v>
      </c>
      <c r="K6" s="19">
        <f t="shared" si="2"/>
        <v>3</v>
      </c>
      <c r="L6" s="19">
        <f t="shared" si="3"/>
        <v>4</v>
      </c>
      <c r="M6" s="19">
        <f t="shared" si="4"/>
        <v>12</v>
      </c>
      <c r="N6" s="19" t="str">
        <f>IF(M6="","",IF(M6&gt;=15,"Critical",IF(M6&gt;=8,"High",IF(M6&gt;=4,"Medium","Low"))))</f>
        <v>High</v>
      </c>
      <c r="O6" s="21" t="s">
        <v>67</v>
      </c>
      <c r="P6" s="22"/>
      <c r="Q6" s="22"/>
      <c r="R6" s="22"/>
      <c r="S6" s="22"/>
      <c r="T6" s="99" t="s">
        <v>68</v>
      </c>
      <c r="U6" s="100" cm="1">
        <f t="array" ref="U6">IFERROR(SUMPRODUCT(('Risk-Control Matrix'!C6:AE6="X")*'Risk-Control Matrix'!$C$18:$AE$18)/COUNTIF('Risk-Control Matrix'!C6:AE6,"X"),0)</f>
        <v>0</v>
      </c>
    </row>
    <row r="7" spans="1:21" ht="57.75" customHeight="1" x14ac:dyDescent="0.25">
      <c r="A7" s="16" t="s">
        <v>423</v>
      </c>
      <c r="B7" s="17" t="s">
        <v>75</v>
      </c>
      <c r="C7" s="4" t="s">
        <v>76</v>
      </c>
      <c r="D7" s="18" t="s">
        <v>485</v>
      </c>
      <c r="E7" s="19">
        <f>COUNTIF('Risk-Control Matrix'!C7:AE7,"X")</f>
        <v>5</v>
      </c>
      <c r="F7" s="20">
        <v>4</v>
      </c>
      <c r="G7" s="20">
        <v>5</v>
      </c>
      <c r="H7" s="19">
        <f t="shared" si="0"/>
        <v>20</v>
      </c>
      <c r="I7" s="19" t="str">
        <f t="shared" si="1"/>
        <v>Critical</v>
      </c>
      <c r="J7" s="21" t="s">
        <v>66</v>
      </c>
      <c r="K7" s="19">
        <f t="shared" si="2"/>
        <v>4</v>
      </c>
      <c r="L7" s="19">
        <f t="shared" si="3"/>
        <v>5</v>
      </c>
      <c r="M7" s="19">
        <f t="shared" si="4"/>
        <v>20</v>
      </c>
      <c r="N7" s="19" t="str">
        <f t="shared" si="5"/>
        <v>Critical</v>
      </c>
      <c r="O7" s="21" t="s">
        <v>67</v>
      </c>
      <c r="P7" s="22"/>
      <c r="Q7" s="22"/>
      <c r="R7" s="22"/>
      <c r="S7" s="22"/>
      <c r="T7" s="99" t="s">
        <v>68</v>
      </c>
      <c r="U7" s="100" cm="1">
        <f t="array" ref="U7">IFERROR(SUMPRODUCT(('Risk-Control Matrix'!C7:AE7="X")*'Risk-Control Matrix'!$C$18:$AE$18)/COUNTIF('Risk-Control Matrix'!C7:AE7,"X"),0)</f>
        <v>0</v>
      </c>
    </row>
    <row r="8" spans="1:21" ht="57.75" customHeight="1" x14ac:dyDescent="0.25">
      <c r="A8" s="16" t="s">
        <v>424</v>
      </c>
      <c r="B8" s="17" t="s">
        <v>77</v>
      </c>
      <c r="C8" s="4" t="s">
        <v>78</v>
      </c>
      <c r="D8" s="18" t="s">
        <v>510</v>
      </c>
      <c r="E8" s="19">
        <f>COUNTIF('Risk-Control Matrix'!C8:AE8,"X")</f>
        <v>10</v>
      </c>
      <c r="F8" s="20">
        <v>4</v>
      </c>
      <c r="G8" s="20">
        <v>4</v>
      </c>
      <c r="H8" s="19">
        <f t="shared" si="0"/>
        <v>16</v>
      </c>
      <c r="I8" s="19" t="str">
        <f t="shared" si="1"/>
        <v>Critical</v>
      </c>
      <c r="J8" s="21" t="s">
        <v>66</v>
      </c>
      <c r="K8" s="19">
        <f t="shared" si="2"/>
        <v>4</v>
      </c>
      <c r="L8" s="19">
        <f t="shared" si="3"/>
        <v>4</v>
      </c>
      <c r="M8" s="19">
        <f t="shared" si="4"/>
        <v>16</v>
      </c>
      <c r="N8" s="19" t="str">
        <f t="shared" si="5"/>
        <v>Critical</v>
      </c>
      <c r="O8" s="21" t="s">
        <v>67</v>
      </c>
      <c r="P8" s="22"/>
      <c r="Q8" s="22"/>
      <c r="R8" s="22"/>
      <c r="S8" s="22"/>
      <c r="T8" s="99" t="s">
        <v>68</v>
      </c>
      <c r="U8" s="100" cm="1">
        <f t="array" ref="U8">IFERROR(SUMPRODUCT(('Risk-Control Matrix'!C8:AE8="X")*'Risk-Control Matrix'!$C$18:$AE$18)/COUNTIF('Risk-Control Matrix'!C8:AE8,"X"),0)</f>
        <v>0.1</v>
      </c>
    </row>
    <row r="9" spans="1:21" ht="57.75" customHeight="1" x14ac:dyDescent="0.25">
      <c r="A9" s="16" t="s">
        <v>425</v>
      </c>
      <c r="B9" s="17" t="s">
        <v>79</v>
      </c>
      <c r="C9" s="4" t="s">
        <v>80</v>
      </c>
      <c r="D9" s="18" t="s">
        <v>487</v>
      </c>
      <c r="E9" s="19">
        <f>COUNTIF('Risk-Control Matrix'!C9:AE9,"X")</f>
        <v>8</v>
      </c>
      <c r="F9" s="20">
        <v>3</v>
      </c>
      <c r="G9" s="20">
        <v>4</v>
      </c>
      <c r="H9" s="19">
        <f t="shared" si="0"/>
        <v>12</v>
      </c>
      <c r="I9" s="19" t="str">
        <f t="shared" si="1"/>
        <v>High</v>
      </c>
      <c r="J9" s="21" t="s">
        <v>66</v>
      </c>
      <c r="K9" s="19">
        <f t="shared" si="2"/>
        <v>2</v>
      </c>
      <c r="L9" s="19">
        <f t="shared" si="3"/>
        <v>3</v>
      </c>
      <c r="M9" s="19">
        <f t="shared" si="4"/>
        <v>6</v>
      </c>
      <c r="N9" s="19" t="str">
        <f t="shared" si="5"/>
        <v>Medium</v>
      </c>
      <c r="O9" s="21" t="s">
        <v>67</v>
      </c>
      <c r="P9" s="22"/>
      <c r="Q9" s="22"/>
      <c r="R9" s="22"/>
      <c r="S9" s="22"/>
      <c r="T9" s="99" t="s">
        <v>68</v>
      </c>
      <c r="U9" s="100" cm="1">
        <f t="array" ref="U9">IFERROR(SUMPRODUCT(('Risk-Control Matrix'!C9:AE9="X")*'Risk-Control Matrix'!$C$18:$AE$18)/COUNTIF('Risk-Control Matrix'!C9:AE9,"X"),0)</f>
        <v>0.3125</v>
      </c>
    </row>
    <row r="10" spans="1:21" ht="57.75" customHeight="1" x14ac:dyDescent="0.25">
      <c r="A10" s="16" t="s">
        <v>426</v>
      </c>
      <c r="B10" s="17" t="s">
        <v>81</v>
      </c>
      <c r="C10" s="4" t="s">
        <v>82</v>
      </c>
      <c r="D10" s="18" t="s">
        <v>83</v>
      </c>
      <c r="E10" s="19">
        <f>COUNTIF('Risk-Control Matrix'!C10:AE10,"X")</f>
        <v>2</v>
      </c>
      <c r="F10" s="20">
        <v>3</v>
      </c>
      <c r="G10" s="20">
        <v>5</v>
      </c>
      <c r="H10" s="19">
        <f t="shared" si="0"/>
        <v>15</v>
      </c>
      <c r="I10" s="19" t="str">
        <f t="shared" si="1"/>
        <v>Critical</v>
      </c>
      <c r="J10" s="21" t="s">
        <v>66</v>
      </c>
      <c r="K10" s="19">
        <f t="shared" si="2"/>
        <v>3</v>
      </c>
      <c r="L10" s="19">
        <f t="shared" si="3"/>
        <v>5</v>
      </c>
      <c r="M10" s="19">
        <f t="shared" si="4"/>
        <v>15</v>
      </c>
      <c r="N10" s="19" t="str">
        <f t="shared" si="5"/>
        <v>Critical</v>
      </c>
      <c r="O10" s="21" t="s">
        <v>67</v>
      </c>
      <c r="P10" s="22"/>
      <c r="Q10" s="22"/>
      <c r="R10" s="22"/>
      <c r="S10" s="22"/>
      <c r="T10" s="99" t="s">
        <v>68</v>
      </c>
      <c r="U10" s="100" cm="1">
        <f t="array" ref="U10">IFERROR(SUMPRODUCT(('Risk-Control Matrix'!C10:AE10="X")*'Risk-Control Matrix'!$C$18:$AE$18)/COUNTIF('Risk-Control Matrix'!C10:AE10,"X"),0)</f>
        <v>0</v>
      </c>
    </row>
    <row r="11" spans="1:21" ht="57.75" customHeight="1" x14ac:dyDescent="0.25">
      <c r="A11" s="16" t="s">
        <v>427</v>
      </c>
      <c r="B11" s="17" t="s">
        <v>84</v>
      </c>
      <c r="C11" s="4" t="s">
        <v>85</v>
      </c>
      <c r="D11" s="18" t="s">
        <v>86</v>
      </c>
      <c r="E11" s="19">
        <f>COUNTIF('Risk-Control Matrix'!C11:AE11,"X")</f>
        <v>5</v>
      </c>
      <c r="F11" s="20">
        <v>4</v>
      </c>
      <c r="G11" s="20">
        <v>3</v>
      </c>
      <c r="H11" s="19">
        <f t="shared" si="0"/>
        <v>12</v>
      </c>
      <c r="I11" s="19" t="str">
        <f t="shared" si="1"/>
        <v>High</v>
      </c>
      <c r="J11" s="21" t="s">
        <v>66</v>
      </c>
      <c r="K11" s="19">
        <f t="shared" si="2"/>
        <v>4</v>
      </c>
      <c r="L11" s="19">
        <f t="shared" si="3"/>
        <v>3</v>
      </c>
      <c r="M11" s="19">
        <f t="shared" si="4"/>
        <v>12</v>
      </c>
      <c r="N11" s="19" t="str">
        <f t="shared" si="5"/>
        <v>High</v>
      </c>
      <c r="O11" s="21" t="s">
        <v>67</v>
      </c>
      <c r="P11" s="22"/>
      <c r="Q11" s="22"/>
      <c r="R11" s="22"/>
      <c r="S11" s="22"/>
      <c r="T11" s="99" t="s">
        <v>68</v>
      </c>
      <c r="U11" s="100" cm="1">
        <f t="array" ref="U11">IFERROR(SUMPRODUCT(('Risk-Control Matrix'!C11:AE11="X")*'Risk-Control Matrix'!$C$18:$AE$18)/COUNTIF('Risk-Control Matrix'!C11:AE11,"X"),0)</f>
        <v>0</v>
      </c>
    </row>
    <row r="12" spans="1:21" ht="57.75" customHeight="1" x14ac:dyDescent="0.25">
      <c r="A12" s="16" t="s">
        <v>428</v>
      </c>
      <c r="B12" s="17" t="s">
        <v>87</v>
      </c>
      <c r="C12" s="4" t="s">
        <v>88</v>
      </c>
      <c r="D12" s="18" t="s">
        <v>89</v>
      </c>
      <c r="E12" s="19">
        <f>COUNTIF('Risk-Control Matrix'!C12:AE12,"X")</f>
        <v>3</v>
      </c>
      <c r="F12" s="20">
        <v>3</v>
      </c>
      <c r="G12" s="20">
        <v>5</v>
      </c>
      <c r="H12" s="19">
        <f t="shared" si="0"/>
        <v>15</v>
      </c>
      <c r="I12" s="19" t="str">
        <f t="shared" si="1"/>
        <v>Critical</v>
      </c>
      <c r="J12" s="21" t="s">
        <v>66</v>
      </c>
      <c r="K12" s="19">
        <f t="shared" si="2"/>
        <v>2</v>
      </c>
      <c r="L12" s="19">
        <f t="shared" si="3"/>
        <v>4</v>
      </c>
      <c r="M12" s="19">
        <f t="shared" si="4"/>
        <v>8</v>
      </c>
      <c r="N12" s="19" t="str">
        <f t="shared" si="5"/>
        <v>High</v>
      </c>
      <c r="O12" s="21" t="s">
        <v>67</v>
      </c>
      <c r="P12" s="22"/>
      <c r="Q12" s="22"/>
      <c r="R12" s="22"/>
      <c r="S12" s="22"/>
      <c r="T12" s="99" t="s">
        <v>68</v>
      </c>
      <c r="U12" s="100" cm="1">
        <f t="array" ref="U12">IFERROR(SUMPRODUCT(('Risk-Control Matrix'!C12:AE12="X")*'Risk-Control Matrix'!$C$18:$AE$18)/COUNTIF('Risk-Control Matrix'!C12:AE12,"X"),0)</f>
        <v>0.33333333333333331</v>
      </c>
    </row>
    <row r="13" spans="1:21" ht="51" x14ac:dyDescent="0.25">
      <c r="A13" s="16" t="s">
        <v>498</v>
      </c>
      <c r="B13" s="17" t="s">
        <v>501</v>
      </c>
      <c r="C13" s="4" t="s">
        <v>504</v>
      </c>
      <c r="D13" s="18" t="s">
        <v>505</v>
      </c>
      <c r="E13" s="19">
        <f>COUNTIF('Risk-Control Matrix'!C13:AE13,"X")</f>
        <v>2</v>
      </c>
      <c r="F13" s="20">
        <v>4</v>
      </c>
      <c r="G13" s="20">
        <v>4</v>
      </c>
      <c r="H13" s="19">
        <f>F13*G13</f>
        <v>16</v>
      </c>
      <c r="I13" s="19" t="str">
        <f>IF(H13="","",IF(H13&gt;=15,"Critical",IF(H13&gt;=8,"High",IF(H13&gt;=4,"Medium","Low"))))</f>
        <v>Critical</v>
      </c>
      <c r="J13" s="21" t="s">
        <v>66</v>
      </c>
      <c r="K13" s="19">
        <f t="shared" ref="K13:L15" si="6">ROUND(F13-(F13-1)*$U13,0)</f>
        <v>2</v>
      </c>
      <c r="L13" s="19">
        <f t="shared" si="6"/>
        <v>2</v>
      </c>
      <c r="M13" s="19">
        <f>K13*L13</f>
        <v>4</v>
      </c>
      <c r="N13" s="181" t="str">
        <f>IF(M13="","",IF(M13&gt;=15,"Critical",IF(M13&gt;=8,"High",IF(M13&gt;=4,"Medium","Low"))))</f>
        <v>Medium</v>
      </c>
      <c r="O13" s="21" t="s">
        <v>67</v>
      </c>
      <c r="P13" s="22"/>
      <c r="Q13" s="22"/>
      <c r="R13" s="22"/>
      <c r="S13" s="22"/>
      <c r="T13" s="99" t="s">
        <v>68</v>
      </c>
      <c r="U13" s="100" cm="1">
        <f t="array" ref="U13">IFERROR(SUMPRODUCT(('Risk-Control Matrix'!C13:AE13="X")*'Risk-Control Matrix'!$C$18:$AE$18)/COUNTIF('Risk-Control Matrix'!C13:AE13,"X"),0)</f>
        <v>0.75</v>
      </c>
    </row>
    <row r="14" spans="1:21" ht="63.75" x14ac:dyDescent="0.25">
      <c r="A14" s="16" t="s">
        <v>499</v>
      </c>
      <c r="B14" s="17" t="s">
        <v>502</v>
      </c>
      <c r="C14" s="4" t="s">
        <v>506</v>
      </c>
      <c r="D14" s="18" t="s">
        <v>507</v>
      </c>
      <c r="E14" s="19">
        <f>COUNTIF('Risk-Control Matrix'!C14:AE14,"X")</f>
        <v>2</v>
      </c>
      <c r="F14" s="20">
        <v>4</v>
      </c>
      <c r="G14" s="20">
        <v>4</v>
      </c>
      <c r="H14" s="19">
        <f>F14*G14</f>
        <v>16</v>
      </c>
      <c r="I14" s="19" t="str">
        <f>IF(H14="","",IF(H14&gt;=15,"Critical",IF(H14&gt;=8,"High",IF(H14&gt;=4,"Medium","Low"))))</f>
        <v>Critical</v>
      </c>
      <c r="J14" s="21" t="s">
        <v>66</v>
      </c>
      <c r="K14" s="19">
        <f t="shared" si="6"/>
        <v>4</v>
      </c>
      <c r="L14" s="19">
        <f t="shared" si="6"/>
        <v>4</v>
      </c>
      <c r="M14" s="19">
        <f>K14*L14</f>
        <v>16</v>
      </c>
      <c r="N14" s="182" t="str">
        <f>IF(M14="","",IF(M14&gt;=15,"Critical",IF(M14&gt;=8,"High",IF(M14&gt;=4,"Medium","Low"))))</f>
        <v>Critical</v>
      </c>
      <c r="O14" s="21" t="s">
        <v>67</v>
      </c>
      <c r="P14" s="22"/>
      <c r="Q14" s="22"/>
      <c r="R14" s="22"/>
      <c r="S14" s="22"/>
      <c r="T14" s="99" t="s">
        <v>68</v>
      </c>
      <c r="U14" s="100" cm="1">
        <f t="array" ref="U14">IFERROR(SUMPRODUCT(('Risk-Control Matrix'!C14:AE14="X")*'Risk-Control Matrix'!$C$18:$AE$18)/COUNTIF('Risk-Control Matrix'!C14:AE14,"X"),0)</f>
        <v>0</v>
      </c>
    </row>
    <row r="15" spans="1:21" ht="63.75" x14ac:dyDescent="0.25">
      <c r="A15" s="16" t="s">
        <v>500</v>
      </c>
      <c r="B15" s="17" t="s">
        <v>503</v>
      </c>
      <c r="C15" s="4" t="s">
        <v>508</v>
      </c>
      <c r="D15" s="18" t="s">
        <v>509</v>
      </c>
      <c r="E15" s="19">
        <f>COUNTIF('Risk-Control Matrix'!C15:AE15,"X")</f>
        <v>2</v>
      </c>
      <c r="F15" s="20">
        <v>3</v>
      </c>
      <c r="G15" s="20">
        <v>5</v>
      </c>
      <c r="H15" s="19">
        <f>F15*G15</f>
        <v>15</v>
      </c>
      <c r="I15" s="19" t="str">
        <f>IF(H15="","",IF(H15&gt;=15,"Critical",IF(H15&gt;=8,"High",IF(H15&gt;=4,"Medium","Low"))))</f>
        <v>Critical</v>
      </c>
      <c r="J15" s="21" t="s">
        <v>66</v>
      </c>
      <c r="K15" s="19">
        <f t="shared" si="6"/>
        <v>2</v>
      </c>
      <c r="L15" s="19">
        <f t="shared" si="6"/>
        <v>2</v>
      </c>
      <c r="M15" s="19">
        <f>K15*L15</f>
        <v>4</v>
      </c>
      <c r="N15" s="181" t="str">
        <f>IF(M15="","",IF(M15&gt;=15,"Critical",IF(M15&gt;=8,"High",IF(M15&gt;=4,"Medium","Low"))))</f>
        <v>Medium</v>
      </c>
      <c r="O15" s="21" t="s">
        <v>67</v>
      </c>
      <c r="P15" s="22"/>
      <c r="Q15" s="22"/>
      <c r="R15" s="22"/>
      <c r="S15" s="22"/>
      <c r="T15" s="99" t="s">
        <v>68</v>
      </c>
      <c r="U15" s="100" cm="1">
        <f t="array" ref="U15">IFERROR(SUMPRODUCT(('Risk-Control Matrix'!C15:AE15="X")*'Risk-Control Matrix'!$C$18:$AE$18)/COUNTIF('Risk-Control Matrix'!C15:AE15,"X"),0)</f>
        <v>0.75</v>
      </c>
    </row>
  </sheetData>
  <autoFilter ref="A3:T12" xr:uid="{00000000-0009-0000-0000-000002000000}"/>
  <mergeCells count="5">
    <mergeCell ref="A2:E2"/>
    <mergeCell ref="F2:I2"/>
    <mergeCell ref="K2:N2"/>
    <mergeCell ref="O2:T2"/>
    <mergeCell ref="A1:U1"/>
  </mergeCells>
  <conditionalFormatting sqref="I4:I15">
    <cfRule type="expression" dxfId="39" priority="2">
      <formula>$I4="Critical"</formula>
    </cfRule>
    <cfRule type="expression" dxfId="38" priority="3">
      <formula>$I4="High"</formula>
    </cfRule>
    <cfRule type="expression" dxfId="37" priority="4">
      <formula>$I4="Medium"</formula>
    </cfRule>
    <cfRule type="expression" dxfId="36" priority="5">
      <formula>$I4="Low"</formula>
    </cfRule>
  </conditionalFormatting>
  <conditionalFormatting sqref="N4:N15">
    <cfRule type="containsText" dxfId="35" priority="6" operator="containsText" text="Critical">
      <formula>NOT(ISERROR(SEARCH("Critical",N4)))</formula>
    </cfRule>
    <cfRule type="containsText" dxfId="34" priority="7" operator="containsText" text="High">
      <formula>NOT(ISERROR(SEARCH("High",N4)))</formula>
    </cfRule>
    <cfRule type="containsText" dxfId="33" priority="8" operator="containsText" text="Medium">
      <formula>NOT(ISERROR(SEARCH("Medium",N4)))</formula>
    </cfRule>
    <cfRule type="containsText" dxfId="32" priority="9" operator="containsText" text="Low">
      <formula>NOT(ISERROR(SEARCH("Low",N4)))</formula>
    </cfRule>
  </conditionalFormatting>
  <dataValidations count="4">
    <dataValidation type="list" allowBlank="1" sqref="F4:G12" xr:uid="{00000000-0002-0000-0200-000000000000}">
      <formula1>"1,2,3,4,5"</formula1>
      <formula2>0</formula2>
    </dataValidation>
    <dataValidation type="list" allowBlank="1" sqref="J4:J12" xr:uid="{00000000-0002-0000-0200-000004000000}">
      <formula1>"Effective,Partially Effective,Ineffective,Not Tested"</formula1>
      <formula2>0</formula2>
    </dataValidation>
    <dataValidation type="list" allowBlank="1" sqref="O4:O12" xr:uid="{00000000-0002-0000-0200-000005000000}">
      <formula1>"Mitigate,Accept,Transfer,Avoid"</formula1>
      <formula2>0</formula2>
    </dataValidation>
    <dataValidation type="list" allowBlank="1" sqref="T4:T12" xr:uid="{00000000-0002-0000-0200-000006000000}">
      <formula1>"To Do,In Progress,Implemented,Accepted,Closed"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9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E8" sqref="AE8"/>
    </sheetView>
  </sheetViews>
  <sheetFormatPr defaultColWidth="8.7109375" defaultRowHeight="15" outlineLevelRow="1" x14ac:dyDescent="0.25"/>
  <cols>
    <col min="1" max="1" width="13" customWidth="1"/>
    <col min="2" max="2" width="26" customWidth="1"/>
    <col min="3" max="31" width="4.140625" customWidth="1"/>
    <col min="32" max="32" width="7" customWidth="1"/>
  </cols>
  <sheetData>
    <row r="1" spans="1:32" ht="25.5" customHeight="1" x14ac:dyDescent="0.25">
      <c r="A1" s="194" t="s">
        <v>353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</row>
    <row r="2" spans="1:32" ht="15.75" customHeight="1" x14ac:dyDescent="0.25">
      <c r="A2" s="23"/>
      <c r="B2" s="23"/>
      <c r="C2" s="195" t="s">
        <v>90</v>
      </c>
      <c r="D2" s="196"/>
      <c r="E2" s="196"/>
      <c r="F2" s="196"/>
      <c r="G2" s="196"/>
      <c r="H2" s="196"/>
      <c r="I2" s="196"/>
      <c r="J2" s="196"/>
      <c r="K2" s="197"/>
      <c r="L2" s="203" t="s">
        <v>91</v>
      </c>
      <c r="M2" s="204"/>
      <c r="N2" s="204"/>
      <c r="O2" s="204"/>
      <c r="P2" s="204"/>
      <c r="Q2" s="204"/>
      <c r="R2" s="204"/>
      <c r="S2" s="205"/>
      <c r="T2" s="198" t="s">
        <v>92</v>
      </c>
      <c r="U2" s="199"/>
      <c r="V2" s="199"/>
      <c r="W2" s="199"/>
      <c r="X2" s="199"/>
      <c r="Y2" s="199"/>
      <c r="Z2" s="200"/>
      <c r="AA2" s="186" t="s">
        <v>93</v>
      </c>
      <c r="AB2" s="201"/>
      <c r="AC2" s="201"/>
      <c r="AD2" s="201"/>
      <c r="AE2" s="202"/>
      <c r="AF2" s="23"/>
    </row>
    <row r="3" spans="1:32" ht="63.75" customHeight="1" x14ac:dyDescent="0.25">
      <c r="A3" s="24" t="s">
        <v>44</v>
      </c>
      <c r="B3" s="24" t="s">
        <v>45</v>
      </c>
      <c r="C3" s="25" t="s">
        <v>94</v>
      </c>
      <c r="D3" s="25" t="s">
        <v>95</v>
      </c>
      <c r="E3" s="25" t="s">
        <v>96</v>
      </c>
      <c r="F3" s="25" t="s">
        <v>97</v>
      </c>
      <c r="G3" s="25" t="s">
        <v>98</v>
      </c>
      <c r="H3" s="25" t="s">
        <v>99</v>
      </c>
      <c r="I3" s="143" t="s">
        <v>469</v>
      </c>
      <c r="J3" s="143" t="s">
        <v>470</v>
      </c>
      <c r="K3" s="143" t="s">
        <v>471</v>
      </c>
      <c r="L3" s="25" t="s">
        <v>100</v>
      </c>
      <c r="M3" s="25" t="s">
        <v>101</v>
      </c>
      <c r="N3" s="25" t="s">
        <v>102</v>
      </c>
      <c r="O3" s="25" t="s">
        <v>103</v>
      </c>
      <c r="P3" s="25" t="s">
        <v>104</v>
      </c>
      <c r="Q3" s="25" t="s">
        <v>105</v>
      </c>
      <c r="R3" s="25" t="s">
        <v>106</v>
      </c>
      <c r="S3" s="176" t="s">
        <v>494</v>
      </c>
      <c r="T3" s="25" t="s">
        <v>107</v>
      </c>
      <c r="U3" s="25" t="s">
        <v>108</v>
      </c>
      <c r="V3" s="25" t="s">
        <v>109</v>
      </c>
      <c r="W3" s="25" t="s">
        <v>110</v>
      </c>
      <c r="X3" s="25" t="s">
        <v>111</v>
      </c>
      <c r="Y3" s="25" t="s">
        <v>112</v>
      </c>
      <c r="Z3" s="143" t="s">
        <v>475</v>
      </c>
      <c r="AA3" s="25" t="s">
        <v>113</v>
      </c>
      <c r="AB3" s="25" t="s">
        <v>114</v>
      </c>
      <c r="AC3" s="25" t="s">
        <v>115</v>
      </c>
      <c r="AD3" s="143" t="s">
        <v>482</v>
      </c>
      <c r="AE3" s="143" t="s">
        <v>483</v>
      </c>
      <c r="AF3" s="24" t="s">
        <v>48</v>
      </c>
    </row>
    <row r="4" spans="1:32" x14ac:dyDescent="0.25">
      <c r="A4" s="26" t="s">
        <v>420</v>
      </c>
      <c r="B4" s="18" t="s">
        <v>64</v>
      </c>
      <c r="C4" s="27"/>
      <c r="D4" s="70" t="s">
        <v>116</v>
      </c>
      <c r="E4" s="70" t="s">
        <v>116</v>
      </c>
      <c r="F4" s="70" t="s">
        <v>116</v>
      </c>
      <c r="G4" s="27"/>
      <c r="H4" s="27"/>
      <c r="I4" s="147" t="s">
        <v>116</v>
      </c>
      <c r="J4" s="148" t="s">
        <v>116</v>
      </c>
      <c r="K4" s="144"/>
      <c r="L4" s="27"/>
      <c r="M4" s="27"/>
      <c r="N4" s="70" t="s">
        <v>116</v>
      </c>
      <c r="O4" s="70" t="s">
        <v>116</v>
      </c>
      <c r="P4" s="70" t="s">
        <v>116</v>
      </c>
      <c r="Q4" s="27"/>
      <c r="R4" s="27"/>
      <c r="S4" s="27"/>
      <c r="T4" s="27"/>
      <c r="U4" s="70" t="s">
        <v>116</v>
      </c>
      <c r="V4" s="27"/>
      <c r="W4" s="27"/>
      <c r="X4" s="70" t="s">
        <v>116</v>
      </c>
      <c r="Y4" s="27"/>
      <c r="Z4" s="144"/>
      <c r="AA4" s="27"/>
      <c r="AB4" s="27"/>
      <c r="AC4" s="27"/>
      <c r="AD4" s="144"/>
      <c r="AE4" s="144"/>
      <c r="AF4" s="19">
        <f>COUNTIF(C4:AE4,"X")</f>
        <v>10</v>
      </c>
    </row>
    <row r="5" spans="1:32" x14ac:dyDescent="0.25">
      <c r="A5" s="26" t="s">
        <v>421</v>
      </c>
      <c r="B5" s="18" t="s">
        <v>69</v>
      </c>
      <c r="C5" s="70" t="s">
        <v>116</v>
      </c>
      <c r="D5" s="27"/>
      <c r="E5" s="27"/>
      <c r="F5" s="27"/>
      <c r="G5" s="27"/>
      <c r="H5" s="27"/>
      <c r="I5" s="144"/>
      <c r="J5" s="144"/>
      <c r="K5" s="144"/>
      <c r="L5" s="70" t="s">
        <v>116</v>
      </c>
      <c r="M5" s="27"/>
      <c r="N5" s="27"/>
      <c r="O5" s="27"/>
      <c r="P5" s="27"/>
      <c r="Q5" s="70" t="s">
        <v>116</v>
      </c>
      <c r="R5" s="27"/>
      <c r="S5" s="27"/>
      <c r="T5" s="70" t="s">
        <v>116</v>
      </c>
      <c r="U5" s="70" t="s">
        <v>116</v>
      </c>
      <c r="V5" s="70" t="s">
        <v>116</v>
      </c>
      <c r="W5" s="70" t="s">
        <v>116</v>
      </c>
      <c r="X5" s="70" t="s">
        <v>116</v>
      </c>
      <c r="Y5" s="27"/>
      <c r="Z5" s="144"/>
      <c r="AA5" s="70" t="s">
        <v>116</v>
      </c>
      <c r="AB5" s="27"/>
      <c r="AC5" s="27"/>
      <c r="AD5" s="144"/>
      <c r="AE5" s="144"/>
      <c r="AF5" s="19">
        <f t="shared" ref="AF5:AF12" si="0">COUNTIF(C5:AE5,"X")</f>
        <v>9</v>
      </c>
    </row>
    <row r="6" spans="1:32" x14ac:dyDescent="0.25">
      <c r="A6" s="26" t="s">
        <v>422</v>
      </c>
      <c r="B6" s="18" t="s">
        <v>72</v>
      </c>
      <c r="C6" s="27"/>
      <c r="D6" s="70" t="s">
        <v>116</v>
      </c>
      <c r="E6" s="27"/>
      <c r="F6" s="27"/>
      <c r="G6" s="27"/>
      <c r="H6" s="27"/>
      <c r="I6" s="144"/>
      <c r="J6" s="144"/>
      <c r="K6" s="144"/>
      <c r="L6" s="27"/>
      <c r="M6" s="27"/>
      <c r="N6" s="27"/>
      <c r="O6" s="27"/>
      <c r="P6" s="27"/>
      <c r="Q6" s="70" t="s">
        <v>116</v>
      </c>
      <c r="R6" s="27"/>
      <c r="S6" s="27"/>
      <c r="T6" s="27"/>
      <c r="U6" s="70" t="s">
        <v>116</v>
      </c>
      <c r="V6" s="27"/>
      <c r="W6" s="27"/>
      <c r="X6" s="70" t="s">
        <v>116</v>
      </c>
      <c r="Y6" s="27"/>
      <c r="Z6" s="144"/>
      <c r="AA6" s="27"/>
      <c r="AB6" s="27"/>
      <c r="AC6" s="27"/>
      <c r="AD6" s="144"/>
      <c r="AE6" s="144"/>
      <c r="AF6" s="19">
        <f t="shared" si="0"/>
        <v>4</v>
      </c>
    </row>
    <row r="7" spans="1:32" ht="24" x14ac:dyDescent="0.25">
      <c r="A7" s="26" t="s">
        <v>423</v>
      </c>
      <c r="B7" s="18" t="s">
        <v>75</v>
      </c>
      <c r="C7" s="70" t="s">
        <v>116</v>
      </c>
      <c r="D7" s="27"/>
      <c r="E7" s="27"/>
      <c r="F7" s="27"/>
      <c r="G7" s="27"/>
      <c r="H7" s="70" t="s">
        <v>116</v>
      </c>
      <c r="I7" s="144"/>
      <c r="J7" s="144"/>
      <c r="K7" s="144"/>
      <c r="L7" s="27"/>
      <c r="M7" s="27"/>
      <c r="N7" s="27"/>
      <c r="O7" s="27"/>
      <c r="P7" s="27"/>
      <c r="Q7" s="27"/>
      <c r="R7" s="27"/>
      <c r="S7" s="27"/>
      <c r="T7" s="27"/>
      <c r="U7" s="27"/>
      <c r="V7" s="70" t="s">
        <v>116</v>
      </c>
      <c r="W7" s="70" t="s">
        <v>116</v>
      </c>
      <c r="X7" s="27"/>
      <c r="Y7" s="27"/>
      <c r="Z7" s="148" t="s">
        <v>116</v>
      </c>
      <c r="AA7" s="27"/>
      <c r="AB7" s="27"/>
      <c r="AC7" s="27"/>
      <c r="AD7" s="144"/>
      <c r="AE7" s="144"/>
      <c r="AF7" s="19">
        <f t="shared" si="0"/>
        <v>5</v>
      </c>
    </row>
    <row r="8" spans="1:32" ht="24" x14ac:dyDescent="0.25">
      <c r="A8" s="26" t="s">
        <v>424</v>
      </c>
      <c r="B8" s="18" t="s">
        <v>77</v>
      </c>
      <c r="C8" s="27"/>
      <c r="D8" s="27"/>
      <c r="E8" s="27"/>
      <c r="F8" s="70" t="s">
        <v>116</v>
      </c>
      <c r="G8" s="27"/>
      <c r="H8" s="27"/>
      <c r="I8" s="183" t="s">
        <v>116</v>
      </c>
      <c r="J8" s="183" t="s">
        <v>116</v>
      </c>
      <c r="K8" s="148" t="s">
        <v>116</v>
      </c>
      <c r="L8" s="27"/>
      <c r="M8" s="70" t="s">
        <v>116</v>
      </c>
      <c r="N8" s="70" t="s">
        <v>116</v>
      </c>
      <c r="O8" s="70" t="s">
        <v>116</v>
      </c>
      <c r="P8" s="70" t="s">
        <v>116</v>
      </c>
      <c r="Q8" s="27"/>
      <c r="R8" s="27"/>
      <c r="S8" s="27"/>
      <c r="T8" s="27"/>
      <c r="U8" s="27"/>
      <c r="V8" s="27"/>
      <c r="W8" s="27"/>
      <c r="X8" s="70" t="s">
        <v>116</v>
      </c>
      <c r="Y8" s="27"/>
      <c r="Z8" s="144"/>
      <c r="AA8" s="27"/>
      <c r="AB8" s="70" t="s">
        <v>116</v>
      </c>
      <c r="AC8" s="27"/>
      <c r="AD8" s="144"/>
      <c r="AE8" s="144"/>
      <c r="AF8" s="19">
        <f t="shared" si="0"/>
        <v>10</v>
      </c>
    </row>
    <row r="9" spans="1:32" x14ac:dyDescent="0.25">
      <c r="A9" s="26" t="s">
        <v>425</v>
      </c>
      <c r="B9" s="18" t="s">
        <v>79</v>
      </c>
      <c r="C9" s="27"/>
      <c r="D9" s="70" t="s">
        <v>116</v>
      </c>
      <c r="E9" s="27"/>
      <c r="F9" s="27"/>
      <c r="G9" s="27"/>
      <c r="H9" s="27"/>
      <c r="I9" s="144"/>
      <c r="J9" s="144"/>
      <c r="K9" s="144"/>
      <c r="L9" s="70" t="s">
        <v>116</v>
      </c>
      <c r="M9" s="27"/>
      <c r="N9" s="27"/>
      <c r="O9" s="27"/>
      <c r="P9" s="27"/>
      <c r="Q9" s="70" t="s">
        <v>116</v>
      </c>
      <c r="R9" s="27"/>
      <c r="S9" s="27"/>
      <c r="T9" s="70" t="s">
        <v>116</v>
      </c>
      <c r="U9" s="27"/>
      <c r="V9" s="27"/>
      <c r="W9" s="70" t="s">
        <v>116</v>
      </c>
      <c r="X9" s="70" t="s">
        <v>116</v>
      </c>
      <c r="Y9" s="27"/>
      <c r="Z9" s="144"/>
      <c r="AA9" s="27"/>
      <c r="AB9" s="27"/>
      <c r="AC9" s="27"/>
      <c r="AD9" s="148" t="s">
        <v>116</v>
      </c>
      <c r="AE9" s="148" t="s">
        <v>116</v>
      </c>
      <c r="AF9" s="19">
        <f t="shared" si="0"/>
        <v>8</v>
      </c>
    </row>
    <row r="10" spans="1:32" x14ac:dyDescent="0.25">
      <c r="A10" s="26" t="s">
        <v>426</v>
      </c>
      <c r="B10" s="18" t="s">
        <v>81</v>
      </c>
      <c r="C10" s="27"/>
      <c r="D10" s="27"/>
      <c r="E10" s="27"/>
      <c r="F10" s="27"/>
      <c r="G10" s="27"/>
      <c r="H10" s="27"/>
      <c r="I10" s="144"/>
      <c r="J10" s="144"/>
      <c r="K10" s="144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70" t="s">
        <v>116</v>
      </c>
      <c r="W10" s="70" t="s">
        <v>116</v>
      </c>
      <c r="X10" s="27"/>
      <c r="Y10" s="27"/>
      <c r="Z10" s="144"/>
      <c r="AA10" s="27"/>
      <c r="AB10" s="27"/>
      <c r="AC10" s="27"/>
      <c r="AD10" s="144"/>
      <c r="AE10" s="144"/>
      <c r="AF10" s="19">
        <f t="shared" si="0"/>
        <v>2</v>
      </c>
    </row>
    <row r="11" spans="1:32" x14ac:dyDescent="0.25">
      <c r="A11" s="26" t="s">
        <v>427</v>
      </c>
      <c r="B11" s="18" t="s">
        <v>84</v>
      </c>
      <c r="C11" s="70" t="s">
        <v>116</v>
      </c>
      <c r="D11" s="27"/>
      <c r="E11" s="27"/>
      <c r="F11" s="27"/>
      <c r="G11" s="70" t="s">
        <v>116</v>
      </c>
      <c r="H11" s="27"/>
      <c r="I11" s="144"/>
      <c r="J11" s="144"/>
      <c r="K11" s="144"/>
      <c r="L11" s="27"/>
      <c r="M11" s="27"/>
      <c r="N11" s="27"/>
      <c r="O11" s="27"/>
      <c r="P11" s="27"/>
      <c r="Q11" s="27"/>
      <c r="R11" s="27"/>
      <c r="S11" s="27"/>
      <c r="T11" s="70" t="s">
        <v>116</v>
      </c>
      <c r="U11" s="70" t="s">
        <v>116</v>
      </c>
      <c r="V11" s="27"/>
      <c r="W11" s="27"/>
      <c r="X11" s="27"/>
      <c r="Y11" s="70" t="s">
        <v>116</v>
      </c>
      <c r="Z11" s="159"/>
      <c r="AA11" s="27"/>
      <c r="AB11" s="27"/>
      <c r="AC11" s="27"/>
      <c r="AD11" s="144"/>
      <c r="AE11" s="144"/>
      <c r="AF11" s="19">
        <f t="shared" si="0"/>
        <v>5</v>
      </c>
    </row>
    <row r="12" spans="1:32" x14ac:dyDescent="0.25">
      <c r="A12" s="26" t="s">
        <v>428</v>
      </c>
      <c r="B12" s="18" t="s">
        <v>87</v>
      </c>
      <c r="C12" s="27"/>
      <c r="D12" s="27"/>
      <c r="E12" s="27"/>
      <c r="F12" s="27"/>
      <c r="G12" s="27"/>
      <c r="H12" s="27"/>
      <c r="I12" s="144"/>
      <c r="J12" s="144"/>
      <c r="K12" s="144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70" t="s">
        <v>116</v>
      </c>
      <c r="X12" s="70" t="s">
        <v>116</v>
      </c>
      <c r="Y12" s="27"/>
      <c r="Z12" s="144"/>
      <c r="AA12" s="27"/>
      <c r="AB12" s="70" t="s">
        <v>116</v>
      </c>
      <c r="AC12" s="27"/>
      <c r="AD12" s="144"/>
      <c r="AE12" s="144"/>
      <c r="AF12" s="19">
        <f t="shared" si="0"/>
        <v>3</v>
      </c>
    </row>
    <row r="13" spans="1:32" ht="24" x14ac:dyDescent="0.25">
      <c r="A13" s="26" t="s">
        <v>498</v>
      </c>
      <c r="B13" s="18" t="s">
        <v>501</v>
      </c>
      <c r="C13" s="177"/>
      <c r="D13" s="177"/>
      <c r="E13" s="177"/>
      <c r="F13" s="177"/>
      <c r="G13" s="177"/>
      <c r="H13" s="177"/>
      <c r="I13" s="144"/>
      <c r="J13" s="144"/>
      <c r="K13" s="144"/>
      <c r="L13" s="179" t="s">
        <v>116</v>
      </c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8"/>
      <c r="X13" s="178"/>
      <c r="Y13" s="177"/>
      <c r="Z13" s="144"/>
      <c r="AA13" s="177"/>
      <c r="AB13" s="178"/>
      <c r="AC13" s="177"/>
      <c r="AD13" s="144"/>
      <c r="AE13" s="180" t="s">
        <v>116</v>
      </c>
      <c r="AF13" s="19">
        <f>COUNTIF(C13:AE13,"X")</f>
        <v>2</v>
      </c>
    </row>
    <row r="14" spans="1:32" ht="24" x14ac:dyDescent="0.25">
      <c r="A14" s="26" t="s">
        <v>499</v>
      </c>
      <c r="B14" s="18" t="s">
        <v>502</v>
      </c>
      <c r="C14" s="177"/>
      <c r="D14" s="177"/>
      <c r="E14" s="177"/>
      <c r="F14" s="177"/>
      <c r="G14" s="179" t="s">
        <v>116</v>
      </c>
      <c r="H14" s="177"/>
      <c r="I14" s="144"/>
      <c r="J14" s="144"/>
      <c r="K14" s="180" t="s">
        <v>116</v>
      </c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8"/>
      <c r="X14" s="178"/>
      <c r="Y14" s="177"/>
      <c r="Z14" s="144"/>
      <c r="AA14" s="177"/>
      <c r="AB14" s="178"/>
      <c r="AC14" s="177"/>
      <c r="AD14" s="144"/>
      <c r="AE14" s="144"/>
      <c r="AF14" s="19">
        <f>COUNTIF(C14:AE14,"X")</f>
        <v>2</v>
      </c>
    </row>
    <row r="15" spans="1:32" x14ac:dyDescent="0.25">
      <c r="A15" s="26" t="s">
        <v>500</v>
      </c>
      <c r="B15" s="18" t="s">
        <v>503</v>
      </c>
      <c r="C15" s="177"/>
      <c r="D15" s="177"/>
      <c r="E15" s="177"/>
      <c r="F15" s="177"/>
      <c r="G15" s="177"/>
      <c r="H15" s="177"/>
      <c r="I15" s="144"/>
      <c r="J15" s="144"/>
      <c r="K15" s="144"/>
      <c r="L15" s="177"/>
      <c r="M15" s="177"/>
      <c r="N15" s="177"/>
      <c r="O15" s="177"/>
      <c r="P15" s="177"/>
      <c r="Q15" s="177"/>
      <c r="R15" s="177"/>
      <c r="S15" s="179" t="s">
        <v>116</v>
      </c>
      <c r="T15" s="177"/>
      <c r="U15" s="177"/>
      <c r="V15" s="177"/>
      <c r="W15" s="178"/>
      <c r="X15" s="178"/>
      <c r="Y15" s="177"/>
      <c r="Z15" s="144"/>
      <c r="AA15" s="177"/>
      <c r="AB15" s="178"/>
      <c r="AC15" s="177"/>
      <c r="AD15" s="180" t="s">
        <v>116</v>
      </c>
      <c r="AE15" s="144"/>
      <c r="AF15" s="19">
        <f>COUNTIF(C15:AE15,"X")</f>
        <v>2</v>
      </c>
    </row>
    <row r="16" spans="1:32" ht="15.75" customHeight="1" x14ac:dyDescent="0.25">
      <c r="A16" s="28" t="s">
        <v>117</v>
      </c>
      <c r="B16" s="29" t="s">
        <v>118</v>
      </c>
      <c r="C16" s="30">
        <f>COUNTIF(C4:C15,"X")</f>
        <v>3</v>
      </c>
      <c r="D16" s="30">
        <f t="shared" ref="D16:AE16" si="1">COUNTIF(D4:D15,"X")</f>
        <v>3</v>
      </c>
      <c r="E16" s="30">
        <f t="shared" si="1"/>
        <v>1</v>
      </c>
      <c r="F16" s="30">
        <f t="shared" si="1"/>
        <v>2</v>
      </c>
      <c r="G16" s="30">
        <f t="shared" si="1"/>
        <v>2</v>
      </c>
      <c r="H16" s="30">
        <f t="shared" si="1"/>
        <v>1</v>
      </c>
      <c r="I16" s="30">
        <f t="shared" si="1"/>
        <v>2</v>
      </c>
      <c r="J16" s="30">
        <f t="shared" si="1"/>
        <v>2</v>
      </c>
      <c r="K16" s="30">
        <f t="shared" si="1"/>
        <v>2</v>
      </c>
      <c r="L16" s="30">
        <f t="shared" si="1"/>
        <v>3</v>
      </c>
      <c r="M16" s="30">
        <f t="shared" si="1"/>
        <v>1</v>
      </c>
      <c r="N16" s="30">
        <f t="shared" si="1"/>
        <v>2</v>
      </c>
      <c r="O16" s="30">
        <f t="shared" si="1"/>
        <v>2</v>
      </c>
      <c r="P16" s="30">
        <f t="shared" si="1"/>
        <v>2</v>
      </c>
      <c r="Q16" s="30">
        <f t="shared" si="1"/>
        <v>3</v>
      </c>
      <c r="R16" s="30">
        <f t="shared" si="1"/>
        <v>0</v>
      </c>
      <c r="S16" s="30">
        <f t="shared" si="1"/>
        <v>1</v>
      </c>
      <c r="T16" s="30">
        <f t="shared" si="1"/>
        <v>3</v>
      </c>
      <c r="U16" s="30">
        <f t="shared" si="1"/>
        <v>4</v>
      </c>
      <c r="V16" s="30">
        <f t="shared" si="1"/>
        <v>3</v>
      </c>
      <c r="W16" s="30">
        <f t="shared" si="1"/>
        <v>5</v>
      </c>
      <c r="X16" s="30">
        <f t="shared" si="1"/>
        <v>6</v>
      </c>
      <c r="Y16" s="30">
        <f t="shared" si="1"/>
        <v>1</v>
      </c>
      <c r="Z16" s="30">
        <f t="shared" si="1"/>
        <v>1</v>
      </c>
      <c r="AA16" s="30">
        <f t="shared" si="1"/>
        <v>1</v>
      </c>
      <c r="AB16" s="30">
        <f t="shared" si="1"/>
        <v>2</v>
      </c>
      <c r="AC16" s="30">
        <f t="shared" si="1"/>
        <v>0</v>
      </c>
      <c r="AD16" s="30">
        <f t="shared" si="1"/>
        <v>2</v>
      </c>
      <c r="AE16" s="30">
        <f t="shared" si="1"/>
        <v>2</v>
      </c>
      <c r="AF16" s="30">
        <f>SUM(C16:AE16)</f>
        <v>62</v>
      </c>
    </row>
    <row r="17" spans="1:32" outlineLevel="1" x14ac:dyDescent="0.25">
      <c r="B17" s="69" t="s">
        <v>323</v>
      </c>
      <c r="C17" s="68" t="str">
        <f>IFERROR(VLOOKUP("CTRL-"&amp;C$3,'Build Controls'!$A$4:$I$9,9,FALSE),IFERROR(VLOOKUP("CTRL-"&amp;C$3,'Release Controls'!$A$4:$I$10,9,FALSE),IFERROR(VLOOKUP("CTRL-"&amp;C$3,'Runtime Controls'!$A$4:$I$9,9,FALSE),IFERROR(VLOOKUP("CTRL-"&amp;C$3,'Lifecycle Controls'!$A$4:$I$6,9,FALSE),"—"))))</f>
        <v>Ineffective</v>
      </c>
      <c r="D17" s="68" t="str">
        <f>IFERROR(VLOOKUP("CTRL-"&amp;D$3,'Build Controls'!$A$4:$I$9,9,FALSE),IFERROR(VLOOKUP("CTRL-"&amp;D$3,'Release Controls'!$A$4:$I$10,9,FALSE),IFERROR(VLOOKUP("CTRL-"&amp;D$3,'Runtime Controls'!$A$4:$I$9,9,FALSE),IFERROR(VLOOKUP("CTRL-"&amp;D$3,'Lifecycle Controls'!$A$4:$I$6,9,FALSE),"—"))))</f>
        <v>Ineffective</v>
      </c>
      <c r="E17" s="68" t="str">
        <f>IFERROR(VLOOKUP("CTRL-"&amp;E$3,'Build Controls'!$A$4:$I$9,9,FALSE),IFERROR(VLOOKUP("CTRL-"&amp;E$3,'Release Controls'!$A$4:$I$10,9,FALSE),IFERROR(VLOOKUP("CTRL-"&amp;E$3,'Runtime Controls'!$A$4:$I$9,9,FALSE),IFERROR(VLOOKUP("CTRL-"&amp;E$3,'Lifecycle Controls'!$A$4:$I$6,9,FALSE),"—"))))</f>
        <v>Ineffective</v>
      </c>
      <c r="F17" s="68" t="str">
        <f>IFERROR(VLOOKUP("CTRL-"&amp;F$3,'Build Controls'!$A$4:$I$9,9,FALSE),IFERROR(VLOOKUP("CTRL-"&amp;F$3,'Release Controls'!$A$4:$I$10,9,FALSE),IFERROR(VLOOKUP("CTRL-"&amp;F$3,'Runtime Controls'!$A$4:$I$9,9,FALSE),IFERROR(VLOOKUP("CTRL-"&amp;F$3,'Lifecycle Controls'!$A$4:$I$6,9,FALSE),"—"))))</f>
        <v>Ineffective</v>
      </c>
      <c r="G17" s="68" t="str">
        <f>IFERROR(VLOOKUP("CTRL-"&amp;G$3,'Build Controls'!$A$4:$I$9,9,FALSE),IFERROR(VLOOKUP("CTRL-"&amp;G$3,'Release Controls'!$A$4:$I$10,9,FALSE),IFERROR(VLOOKUP("CTRL-"&amp;G$3,'Runtime Controls'!$A$4:$I$9,9,FALSE),IFERROR(VLOOKUP("CTRL-"&amp;G$3,'Lifecycle Controls'!$A$4:$I$6,9,FALSE),"—"))))</f>
        <v>Not Tested</v>
      </c>
      <c r="H17" s="68" t="str">
        <f>IFERROR(VLOOKUP("CTRL-"&amp;H$3,'Build Controls'!$A$4:$I$9,9,FALSE),IFERROR(VLOOKUP("CTRL-"&amp;H$3,'Release Controls'!$A$4:$I$10,9,FALSE),IFERROR(VLOOKUP("CTRL-"&amp;H$3,'Runtime Controls'!$A$4:$I$9,9,FALSE),IFERROR(VLOOKUP("CTRL-"&amp;H$3,'Lifecycle Controls'!$A$4:$I$6,9,FALSE),"—"))))</f>
        <v>Ineffective</v>
      </c>
      <c r="I17" s="145" t="str">
        <f>IFERROR(VLOOKUP("CTRL-"&amp;I$3,'Build Controls'!$A$4:$I$12,9,FALSE),IFERROR(VLOOKUP("CTRL-"&amp;I$3,'Release Controls'!$A$4:$I$10,9,FALSE),IFERROR(VLOOKUP("CTRL-"&amp;I$3,'Runtime Controls'!$A$4:$I$9,9,FALSE),IFERROR(VLOOKUP("CTRL-"&amp;I$3,'Lifecycle Controls'!$A$4:$I$6,9,FALSE),"—"))))</f>
        <v>Ineffective</v>
      </c>
      <c r="J17" s="145" t="str">
        <f>IFERROR(VLOOKUP("CTRL-"&amp;J$3,'Build Controls'!$A$4:$I$12,9,FALSE),IFERROR(VLOOKUP("CTRL-"&amp;J$3,'Release Controls'!$A$4:$I$10,9,FALSE),IFERROR(VLOOKUP("CTRL-"&amp;J$3,'Runtime Controls'!$A$4:$I$9,9,FALSE),IFERROR(VLOOKUP("CTRL-"&amp;J$3,'Lifecycle Controls'!$A$4:$I$6,9,FALSE),"—"))))</f>
        <v>Ineffective</v>
      </c>
      <c r="K17" s="145" t="str">
        <f>IFERROR(VLOOKUP("CTRL-"&amp;K$3,'Build Controls'!$A$4:$I$12,9,FALSE),IFERROR(VLOOKUP("CTRL-"&amp;K$3,'Release Controls'!$A$4:$I$10,9,FALSE),IFERROR(VLOOKUP("CTRL-"&amp;K$3,'Runtime Controls'!$A$4:$I$9,9,FALSE),IFERROR(VLOOKUP("CTRL-"&amp;K$3,'Lifecycle Controls'!$A$4:$I$6,9,FALSE),"—"))))</f>
        <v>Ineffective</v>
      </c>
      <c r="L17" s="68" t="str">
        <f>IFERROR(VLOOKUP("CTRL-"&amp;L$3,'Build Controls'!$A$4:$I$9,9,FALSE),IFERROR(VLOOKUP("CTRL-"&amp;L$3,'Release Controls'!$A$4:$I$10,9,FALSE),IFERROR(VLOOKUP("CTRL-"&amp;L$3,'Runtime Controls'!$A$4:$I$9,9,FALSE),IFERROR(VLOOKUP("CTRL-"&amp;L$3,'Lifecycle Controls'!$A$4:$I$6,9,FALSE),"—"))))</f>
        <v>Effective</v>
      </c>
      <c r="M17" s="68" t="str">
        <f>IFERROR(VLOOKUP("CTRL-"&amp;M$3,'Build Controls'!$A$4:$I$9,9,FALSE),IFERROR(VLOOKUP("CTRL-"&amp;M$3,'Release Controls'!$A$4:$I$10,9,FALSE),IFERROR(VLOOKUP("CTRL-"&amp;M$3,'Runtime Controls'!$A$4:$I$9,9,FALSE),IFERROR(VLOOKUP("CTRL-"&amp;M$3,'Lifecycle Controls'!$A$4:$I$6,9,FALSE),"—"))))</f>
        <v>Not Tested</v>
      </c>
      <c r="N17" s="68" t="str">
        <f>IFERROR(VLOOKUP("CTRL-"&amp;N$3,'Build Controls'!$A$4:$I$9,9,FALSE),IFERROR(VLOOKUP("CTRL-"&amp;N$3,'Release Controls'!$A$4:$I$10,9,FALSE),IFERROR(VLOOKUP("CTRL-"&amp;N$3,'Runtime Controls'!$A$4:$I$9,9,FALSE),IFERROR(VLOOKUP("CTRL-"&amp;N$3,'Lifecycle Controls'!$A$4:$I$6,9,FALSE),"—"))))</f>
        <v>Ineffective</v>
      </c>
      <c r="O17" s="68" t="str">
        <f>IFERROR(VLOOKUP("CTRL-"&amp;O$3,'Build Controls'!$A$4:$I$9,9,FALSE),IFERROR(VLOOKUP("CTRL-"&amp;O$3,'Release Controls'!$A$4:$I$10,9,FALSE),IFERROR(VLOOKUP("CTRL-"&amp;O$3,'Runtime Controls'!$A$4:$I$9,9,FALSE),IFERROR(VLOOKUP("CTRL-"&amp;O$3,'Lifecycle Controls'!$A$4:$I$6,9,FALSE),"—"))))</f>
        <v>Ineffective</v>
      </c>
      <c r="P17" s="68" t="str">
        <f>IFERROR(VLOOKUP("CTRL-"&amp;P$3,'Build Controls'!$A$4:$I$9,9,FALSE),IFERROR(VLOOKUP("CTRL-"&amp;P$3,'Release Controls'!$A$4:$I$10,9,FALSE),IFERROR(VLOOKUP("CTRL-"&amp;P$3,'Runtime Controls'!$A$4:$I$9,9,FALSE),IFERROR(VLOOKUP("CTRL-"&amp;P$3,'Lifecycle Controls'!$A$4:$I$6,9,FALSE),"—"))))</f>
        <v>Ineffective</v>
      </c>
      <c r="Q17" s="68" t="str">
        <f>IFERROR(VLOOKUP("CTRL-"&amp;Q$3,'Build Controls'!$A$4:$I$9,9,FALSE),IFERROR(VLOOKUP("CTRL-"&amp;Q$3,'Release Controls'!$A$4:$I$10,9,FALSE),IFERROR(VLOOKUP("CTRL-"&amp;Q$3,'Runtime Controls'!$A$4:$I$9,9,FALSE),IFERROR(VLOOKUP("CTRL-"&amp;Q$3,'Lifecycle Controls'!$A$4:$I$6,9,FALSE),"—"))))</f>
        <v>Not Tested</v>
      </c>
      <c r="R17" s="68" t="str">
        <f>IFERROR(VLOOKUP("CTRL-"&amp;R$3,'Build Controls'!$A$4:$I$9,9,FALSE),IFERROR(VLOOKUP("CTRL-"&amp;R$3,'Release Controls'!$A$4:$I$10,9,FALSE),IFERROR(VLOOKUP("CTRL-"&amp;R$3,'Runtime Controls'!$A$4:$I$9,9,FALSE),IFERROR(VLOOKUP("CTRL-"&amp;R$3,'Lifecycle Controls'!$A$4:$I$6,9,FALSE),"—"))))</f>
        <v>Not Tested</v>
      </c>
      <c r="S17" s="68" t="str">
        <f>IFERROR(VLOOKUP("CTRL-"&amp;S$3,'Build Controls'!$A$4:$I$9,9,FALSE),IFERROR(VLOOKUP("CTRL-"&amp;S$3,'Release Controls'!$A$4:$I$11,9,FALSE),IFERROR(VLOOKUP("CTRL-"&amp;S$3,'Runtime Controls'!$A$4:$I$9,9,FALSE),IFERROR(VLOOKUP("CTRL-"&amp;S$3,'Lifecycle Controls'!$A$4:$I$6,9,FALSE),"—"))))</f>
        <v>Partially Effective</v>
      </c>
      <c r="T17" s="68" t="str">
        <f>IFERROR(VLOOKUP("CTRL-"&amp;T$3,'Build Controls'!$A$4:$I$9,9,FALSE),IFERROR(VLOOKUP("CTRL-"&amp;T$3,'Release Controls'!$A$4:$I$10,9,FALSE),IFERROR(VLOOKUP("CTRL-"&amp;T$3,'Runtime Controls'!$A$4:$I$9,9,FALSE),IFERROR(VLOOKUP("CTRL-"&amp;T$3,'Lifecycle Controls'!$A$4:$I$6,9,FALSE),"—"))))</f>
        <v>Not Tested</v>
      </c>
      <c r="U17" s="68" t="str">
        <f>IFERROR(VLOOKUP("CTRL-"&amp;U$3,'Build Controls'!$A$4:$I$9,9,FALSE),IFERROR(VLOOKUP("CTRL-"&amp;U$3,'Release Controls'!$A$4:$I$10,9,FALSE),IFERROR(VLOOKUP("CTRL-"&amp;U$3,'Runtime Controls'!$A$4:$I$9,9,FALSE),IFERROR(VLOOKUP("CTRL-"&amp;U$3,'Lifecycle Controls'!$A$4:$I$6,9,FALSE),"—"))))</f>
        <v>Ineffective</v>
      </c>
      <c r="V17" s="68" t="str">
        <f>IFERROR(VLOOKUP("CTRL-"&amp;V$3,'Build Controls'!$A$4:$I$9,9,FALSE),IFERROR(VLOOKUP("CTRL-"&amp;V$3,'Release Controls'!$A$4:$I$10,9,FALSE),IFERROR(VLOOKUP("CTRL-"&amp;V$3,'Runtime Controls'!$A$4:$I$9,9,FALSE),IFERROR(VLOOKUP("CTRL-"&amp;V$3,'Lifecycle Controls'!$A$4:$I$6,9,FALSE),"—"))))</f>
        <v>Ineffective</v>
      </c>
      <c r="W17" s="68" t="str">
        <f>IFERROR(VLOOKUP("CTRL-"&amp;W$3,'Build Controls'!$A$4:$I$9,9,FALSE),IFERROR(VLOOKUP("CTRL-"&amp;W$3,'Release Controls'!$A$4:$I$10,9,FALSE),IFERROR(VLOOKUP("CTRL-"&amp;W$3,'Runtime Controls'!$A$4:$I$9,9,FALSE),IFERROR(VLOOKUP("CTRL-"&amp;W$3,'Lifecycle Controls'!$A$4:$I$6,9,FALSE),"—"))))</f>
        <v>Ineffective</v>
      </c>
      <c r="X17" s="68" t="str">
        <f>IFERROR(VLOOKUP("CTRL-"&amp;X$3,'Build Controls'!$A$4:$I$9,9,FALSE),IFERROR(VLOOKUP("CTRL-"&amp;X$3,'Release Controls'!$A$4:$I$10,9,FALSE),IFERROR(VLOOKUP("CTRL-"&amp;X$3,'Runtime Controls'!$A$4:$I$9,9,FALSE),IFERROR(VLOOKUP("CTRL-"&amp;X$3,'Lifecycle Controls'!$A$4:$I$6,9,FALSE),"—"))))</f>
        <v>Ineffective</v>
      </c>
      <c r="Y17" s="68" t="str">
        <f>IFERROR(VLOOKUP("CTRL-"&amp;Y$3,'Build Controls'!$A$4:$I$9,9,FALSE),IFERROR(VLOOKUP("CTRL-"&amp;Y$3,'Release Controls'!$A$4:$I$10,9,FALSE),IFERROR(VLOOKUP("CTRL-"&amp;Y$3,'Runtime Controls'!$A$4:$I$9,9,FALSE),IFERROR(VLOOKUP("CTRL-"&amp;Y$3,'Lifecycle Controls'!$A$4:$I$6,9,FALSE),"—"))))</f>
        <v>Not Tested</v>
      </c>
      <c r="Z17" s="145" t="str">
        <f>IFERROR(VLOOKUP("CTRL-"&amp;Z$3,'Build Controls'!$A$4:$I$12,9,FALSE),IFERROR(VLOOKUP("CTRL-"&amp;Z$3,'Release Controls'!$A$4:$I$10,9,FALSE),IFERROR(VLOOKUP("CTRL-"&amp;Z$3,'Runtime Controls'!$A$4:$I$10,9,FALSE),IFERROR(VLOOKUP("CTRL-"&amp;Z$3,'Lifecycle Controls'!$A$4:$I$6,9,FALSE),"—"))))</f>
        <v>Ineffective</v>
      </c>
      <c r="AA17" s="68" t="str">
        <f>IFERROR(VLOOKUP("CTRL-"&amp;AA$3,'Build Controls'!$A$4:$I$9,9,FALSE),IFERROR(VLOOKUP("CTRL-"&amp;AA$3,'Release Controls'!$A$4:$I$10,9,FALSE),IFERROR(VLOOKUP("CTRL-"&amp;AA$3,'Runtime Controls'!$A$4:$I$9,9,FALSE),IFERROR(VLOOKUP("CTRL-"&amp;AA$3,'Lifecycle Controls'!$A$4:$I$6,9,FALSE),"—"))))</f>
        <v>Not Tested</v>
      </c>
      <c r="AB17" s="68" t="str">
        <f>IFERROR(VLOOKUP("CTRL-"&amp;AB$3,'Build Controls'!$A$4:$I$9,9,FALSE),IFERROR(VLOOKUP("CTRL-"&amp;AB$3,'Release Controls'!$A$4:$I$10,9,FALSE),IFERROR(VLOOKUP("CTRL-"&amp;AB$3,'Runtime Controls'!$A$4:$I$9,9,FALSE),IFERROR(VLOOKUP("CTRL-"&amp;AB$3,'Lifecycle Controls'!$A$4:$I$6,9,FALSE),"—"))))</f>
        <v>Effective</v>
      </c>
      <c r="AC17" s="68" t="str">
        <f>IFERROR(VLOOKUP("CTRL-"&amp;AC$3,'Build Controls'!$A$4:$I$9,9,FALSE),IFERROR(VLOOKUP("CTRL-"&amp;AC$3,'Release Controls'!$A$4:$I$10,9,FALSE),IFERROR(VLOOKUP("CTRL-"&amp;AC$3,'Runtime Controls'!$A$4:$I$9,9,FALSE),IFERROR(VLOOKUP("CTRL-"&amp;AC$3,'Lifecycle Controls'!$A$4:$I$6,9,FALSE),"—"))))</f>
        <v>Not Tested</v>
      </c>
      <c r="AD17" s="145" t="str">
        <f>IFERROR(VLOOKUP("CTRL-"&amp;AD$3,'Build Controls'!$A$4:$I$12,9,FALSE),IFERROR(VLOOKUP("CTRL-"&amp;AD$3,'Release Controls'!$A$4:$I$10,9,FALSE),IFERROR(VLOOKUP("CTRL-"&amp;AD$3,'Runtime Controls'!$A$4:$I$10,9,FALSE),IFERROR(VLOOKUP("CTRL-"&amp;AD$3,'Lifecycle Controls'!$A$4:$I$8,9,FALSE),"—"))))</f>
        <v>Effective</v>
      </c>
      <c r="AE17" s="145" t="str">
        <f>IFERROR(VLOOKUP("CTRL-"&amp;AE$3,'Build Controls'!$A$4:$I$12,9,FALSE),IFERROR(VLOOKUP("CTRL-"&amp;AE$3,'Release Controls'!$A$4:$I$10,9,FALSE),IFERROR(VLOOKUP("CTRL-"&amp;AE$3,'Runtime Controls'!$A$4:$I$10,9,FALSE),IFERROR(VLOOKUP("CTRL-"&amp;AE$3,'Lifecycle Controls'!$A$4:$I$8,9,FALSE),"—"))))</f>
        <v>Partially Effective</v>
      </c>
    </row>
    <row r="18" spans="1:32" outlineLevel="1" x14ac:dyDescent="0.25">
      <c r="B18" s="94" t="s">
        <v>343</v>
      </c>
      <c r="C18" s="95">
        <f>IFERROR(VLOOKUP(C17,'Scoring Legend'!$B$29:$C$32,2,FALSE),0)</f>
        <v>0</v>
      </c>
      <c r="D18" s="96">
        <f>IFERROR(VLOOKUP(D17,'Scoring Legend'!$B$29:$C$32,2,FALSE),0)</f>
        <v>0</v>
      </c>
      <c r="E18" s="96">
        <f>IFERROR(VLOOKUP(E17,'Scoring Legend'!$B$29:$C$32,2,FALSE),0)</f>
        <v>0</v>
      </c>
      <c r="F18" s="96">
        <f>IFERROR(VLOOKUP(F17,'Scoring Legend'!$B$29:$C$32,2,FALSE),0)</f>
        <v>0</v>
      </c>
      <c r="G18" s="96">
        <f>IFERROR(VLOOKUP(G17,'Scoring Legend'!$B$29:$C$32,2,FALSE),0)</f>
        <v>0</v>
      </c>
      <c r="H18" s="96">
        <f>IFERROR(VLOOKUP(H17,'Scoring Legend'!$B$29:$C$32,2,FALSE),0)</f>
        <v>0</v>
      </c>
      <c r="I18" s="146">
        <f>IFERROR(VLOOKUP(I17,'Scoring Legend'!$B$29:$C$32,2,FALSE),0)</f>
        <v>0</v>
      </c>
      <c r="J18" s="146">
        <f>IFERROR(VLOOKUP(J17,'Scoring Legend'!$B$29:$C$32,2,FALSE),0)</f>
        <v>0</v>
      </c>
      <c r="K18" s="146">
        <f>IFERROR(VLOOKUP(K17,'Scoring Legend'!$B$29:$C$32,2,FALSE),0)</f>
        <v>0</v>
      </c>
      <c r="L18" s="96">
        <f>IFERROR(VLOOKUP(L17,'Scoring Legend'!$B$29:$C$32,2,FALSE),0)</f>
        <v>1</v>
      </c>
      <c r="M18" s="96">
        <f>IFERROR(VLOOKUP(M17,'Scoring Legend'!$B$29:$C$32,2,FALSE),0)</f>
        <v>0</v>
      </c>
      <c r="N18" s="96">
        <f>IFERROR(VLOOKUP(N17,'Scoring Legend'!$B$29:$C$32,2,FALSE),0)</f>
        <v>0</v>
      </c>
      <c r="O18" s="96">
        <f>IFERROR(VLOOKUP(O17,'Scoring Legend'!$B$29:$C$32,2,FALSE),0)</f>
        <v>0</v>
      </c>
      <c r="P18" s="96">
        <f>IFERROR(VLOOKUP(P17,'Scoring Legend'!$B$29:$C$32,2,FALSE),0)</f>
        <v>0</v>
      </c>
      <c r="Q18" s="96">
        <f>IFERROR(VLOOKUP(Q17,'Scoring Legend'!$B$29:$C$32,2,FALSE),0)</f>
        <v>0</v>
      </c>
      <c r="R18" s="96">
        <f>IFERROR(VLOOKUP(R17,'Scoring Legend'!$B$29:$C$32,2,FALSE),0)</f>
        <v>0</v>
      </c>
      <c r="S18" s="96">
        <f>IFERROR(VLOOKUP(S17,'Scoring Legend'!$B$29:$C$32,2,FALSE),0)</f>
        <v>0.5</v>
      </c>
      <c r="T18" s="96">
        <f>IFERROR(VLOOKUP(T17,'Scoring Legend'!$B$29:$C$32,2,FALSE),0)</f>
        <v>0</v>
      </c>
      <c r="U18" s="96">
        <f>IFERROR(VLOOKUP(U17,'Scoring Legend'!$B$29:$C$32,2,FALSE),0)</f>
        <v>0</v>
      </c>
      <c r="V18" s="96">
        <f>IFERROR(VLOOKUP(V17,'Scoring Legend'!$B$29:$C$32,2,FALSE),0)</f>
        <v>0</v>
      </c>
      <c r="W18" s="96">
        <f>IFERROR(VLOOKUP(W17,'Scoring Legend'!$B$29:$C$32,2,FALSE),0)</f>
        <v>0</v>
      </c>
      <c r="X18" s="96">
        <f>IFERROR(VLOOKUP(X17,'Scoring Legend'!$B$29:$C$32,2,FALSE),0)</f>
        <v>0</v>
      </c>
      <c r="Y18" s="96">
        <f>IFERROR(VLOOKUP(Y17,'Scoring Legend'!$B$29:$C$32,2,FALSE),0)</f>
        <v>0</v>
      </c>
      <c r="Z18" s="146">
        <f>IFERROR(VLOOKUP(Z17,'Scoring Legend'!$B$29:$C$32,2,FALSE),0)</f>
        <v>0</v>
      </c>
      <c r="AA18" s="96">
        <f>IFERROR(VLOOKUP(AA17,'Scoring Legend'!$B$29:$C$32,2,FALSE),0)</f>
        <v>0</v>
      </c>
      <c r="AB18" s="96">
        <f>IFERROR(VLOOKUP(AB17,'Scoring Legend'!$B$29:$C$32,2,FALSE),0)</f>
        <v>1</v>
      </c>
      <c r="AC18" s="96">
        <f>IFERROR(VLOOKUP(AC17,'Scoring Legend'!$B$29:$C$32,2,FALSE),0)</f>
        <v>0</v>
      </c>
      <c r="AD18" s="146">
        <f>IFERROR(VLOOKUP(AD17,'Scoring Legend'!$B$29:$C$32,2,FALSE),0)</f>
        <v>1</v>
      </c>
      <c r="AE18" s="146">
        <f>IFERROR(VLOOKUP(AE17,'Scoring Legend'!$B$29:$C$32,2,FALSE),0)</f>
        <v>0.5</v>
      </c>
    </row>
    <row r="19" spans="1:32" ht="21.75" customHeight="1" x14ac:dyDescent="0.25">
      <c r="A19" s="193" t="s">
        <v>429</v>
      </c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</row>
  </sheetData>
  <mergeCells count="6">
    <mergeCell ref="A19:AF19"/>
    <mergeCell ref="A1:AF1"/>
    <mergeCell ref="C2:K2"/>
    <mergeCell ref="T2:Z2"/>
    <mergeCell ref="AA2:AE2"/>
    <mergeCell ref="L2:S2"/>
  </mergeCells>
  <conditionalFormatting sqref="C4:AE15">
    <cfRule type="expression" dxfId="31" priority="1">
      <formula>AND(C4="X",C$17="Effective")</formula>
    </cfRule>
    <cfRule type="expression" dxfId="30" priority="2">
      <formula>AND(C4="X",C$17="Partially Effective")</formula>
    </cfRule>
    <cfRule type="expression" dxfId="29" priority="3">
      <formula>AND(C4="X",C$17="Ineffective")</formula>
    </cfRule>
    <cfRule type="expression" dxfId="28" priority="4">
      <formula>AND(C4="X",C$17="Not Tested")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showGridLines="0" tabSelected="1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2" sqref="I12"/>
    </sheetView>
  </sheetViews>
  <sheetFormatPr defaultColWidth="8.7109375" defaultRowHeight="15" x14ac:dyDescent="0.25"/>
  <cols>
    <col min="1" max="1" width="13" customWidth="1"/>
    <col min="2" max="2" width="30" customWidth="1"/>
    <col min="3" max="3" width="50" customWidth="1"/>
    <col min="4" max="4" width="16" customWidth="1"/>
    <col min="5" max="5" width="12" customWidth="1"/>
    <col min="6" max="6" width="20" customWidth="1"/>
    <col min="7" max="7" width="7" customWidth="1"/>
    <col min="8" max="8" width="15" customWidth="1"/>
    <col min="9" max="9" width="18.42578125" customWidth="1"/>
    <col min="10" max="10" width="18" customWidth="1"/>
    <col min="11" max="11" width="22" customWidth="1"/>
    <col min="12" max="12" width="30" customWidth="1"/>
    <col min="13" max="14" width="12" customWidth="1"/>
  </cols>
  <sheetData>
    <row r="1" spans="1:14" ht="25.5" customHeight="1" x14ac:dyDescent="0.25">
      <c r="A1" s="206" t="s">
        <v>401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</row>
    <row r="2" spans="1:14" ht="15.75" customHeight="1" x14ac:dyDescent="0.25">
      <c r="A2" s="184" t="s">
        <v>119</v>
      </c>
      <c r="B2" s="184"/>
      <c r="C2" s="184"/>
      <c r="D2" s="184"/>
      <c r="E2" s="184"/>
      <c r="F2" s="185" t="s">
        <v>120</v>
      </c>
      <c r="G2" s="185"/>
      <c r="H2" s="203" t="s">
        <v>121</v>
      </c>
      <c r="I2" s="203"/>
      <c r="J2" s="186" t="s">
        <v>122</v>
      </c>
      <c r="K2" s="186"/>
      <c r="L2" s="186"/>
      <c r="M2" s="186"/>
      <c r="N2" s="186"/>
    </row>
    <row r="3" spans="1:14" ht="33.75" customHeight="1" x14ac:dyDescent="0.25">
      <c r="A3" s="15" t="s">
        <v>123</v>
      </c>
      <c r="B3" s="15" t="s">
        <v>124</v>
      </c>
      <c r="C3" s="15" t="s">
        <v>125</v>
      </c>
      <c r="D3" s="15" t="s">
        <v>126</v>
      </c>
      <c r="E3" s="15" t="s">
        <v>127</v>
      </c>
      <c r="F3" s="15" t="s">
        <v>128</v>
      </c>
      <c r="G3" s="15" t="s">
        <v>117</v>
      </c>
      <c r="H3" s="15" t="s">
        <v>129</v>
      </c>
      <c r="I3" s="15" t="s">
        <v>53</v>
      </c>
      <c r="J3" s="15" t="s">
        <v>130</v>
      </c>
      <c r="K3" s="15" t="s">
        <v>131</v>
      </c>
      <c r="L3" s="15" t="s">
        <v>132</v>
      </c>
      <c r="M3" s="15" t="s">
        <v>62</v>
      </c>
      <c r="N3" s="15" t="s">
        <v>63</v>
      </c>
    </row>
    <row r="4" spans="1:14" ht="54" customHeight="1" x14ac:dyDescent="0.25">
      <c r="A4" s="26" t="s">
        <v>430</v>
      </c>
      <c r="B4" s="17" t="s">
        <v>133</v>
      </c>
      <c r="C4" s="4" t="s">
        <v>134</v>
      </c>
      <c r="D4" s="27" t="s">
        <v>135</v>
      </c>
      <c r="E4" s="27" t="s">
        <v>180</v>
      </c>
      <c r="F4" s="31" t="str">
        <f>IF(COUNTIF('Risk-Control Matrix'!C4:C12,"X")=0,"—",_xlfn.TEXTJOIN(", ",TRUE(),IF('Risk-Control Matrix'!C4="X",RIGHT('Risk-Control Matrix'!$A$4,4),""),IF('Risk-Control Matrix'!C5="X",RIGHT('Risk-Control Matrix'!$A$5,4),""),IF('Risk-Control Matrix'!C6="X",RIGHT('Risk-Control Matrix'!$A$6,4),""),IF('Risk-Control Matrix'!C7="X",RIGHT('Risk-Control Matrix'!$A$7,4),""),IF('Risk-Control Matrix'!C8="X",RIGHT('Risk-Control Matrix'!$A$8,4),""),IF('Risk-Control Matrix'!C9="X",RIGHT('Risk-Control Matrix'!$A$9,4),""),IF('Risk-Control Matrix'!C10="X",RIGHT('Risk-Control Matrix'!$A$10,4),""),IF('Risk-Control Matrix'!C11="X",RIGHT('Risk-Control Matrix'!$A$11,4),""),IF('Risk-Control Matrix'!C12="X",RIGHT('Risk-Control Matrix'!$A$12,4),"")))</f>
        <v>0002, 0004, 0008</v>
      </c>
      <c r="G4" s="19">
        <f>COUNTIF('Risk-Control Matrix'!C4:C12,"X")</f>
        <v>3</v>
      </c>
      <c r="H4" s="21" t="s">
        <v>31</v>
      </c>
      <c r="I4" s="21" t="s">
        <v>322</v>
      </c>
      <c r="J4" s="22"/>
      <c r="K4" s="22"/>
      <c r="L4" s="22"/>
      <c r="M4" s="22"/>
      <c r="N4" s="21" t="s">
        <v>137</v>
      </c>
    </row>
    <row r="5" spans="1:14" ht="54" customHeight="1" x14ac:dyDescent="0.25">
      <c r="A5" s="26" t="s">
        <v>431</v>
      </c>
      <c r="B5" s="17" t="s">
        <v>138</v>
      </c>
      <c r="C5" s="4" t="s">
        <v>139</v>
      </c>
      <c r="D5" s="27" t="s">
        <v>150</v>
      </c>
      <c r="E5" s="27" t="s">
        <v>141</v>
      </c>
      <c r="F5" s="31" t="str">
        <f>IF(COUNTIF('Risk-Control Matrix'!D4:D12,"X")=0,"—",_xlfn.TEXTJOIN(", ",TRUE(),IF('Risk-Control Matrix'!D4="X",RIGHT('Risk-Control Matrix'!$A$4,4),""),IF('Risk-Control Matrix'!D5="X",RIGHT('Risk-Control Matrix'!$A$5,4),""),IF('Risk-Control Matrix'!D6="X",RIGHT('Risk-Control Matrix'!$A$6,4),""),IF('Risk-Control Matrix'!D7="X",RIGHT('Risk-Control Matrix'!$A$7,4),""),IF('Risk-Control Matrix'!D8="X",RIGHT('Risk-Control Matrix'!$A$8,4),""),IF('Risk-Control Matrix'!D9="X",RIGHT('Risk-Control Matrix'!$A$9,4),""),IF('Risk-Control Matrix'!D10="X",RIGHT('Risk-Control Matrix'!$A$10,4),""),IF('Risk-Control Matrix'!D11="X",RIGHT('Risk-Control Matrix'!$A$11,4),""),IF('Risk-Control Matrix'!D12="X",RIGHT('Risk-Control Matrix'!$A$12,4),"")))</f>
        <v>0001, 0003, 0006</v>
      </c>
      <c r="G5" s="19">
        <f>COUNTIF('Risk-Control Matrix'!D4:D12,"X")</f>
        <v>3</v>
      </c>
      <c r="H5" s="21" t="s">
        <v>33</v>
      </c>
      <c r="I5" s="71" t="s">
        <v>322</v>
      </c>
      <c r="J5" s="22"/>
      <c r="K5" s="22"/>
      <c r="L5" s="22"/>
      <c r="M5" s="22"/>
      <c r="N5" s="21" t="s">
        <v>68</v>
      </c>
    </row>
    <row r="6" spans="1:14" ht="54" customHeight="1" x14ac:dyDescent="0.25">
      <c r="A6" s="26" t="s">
        <v>432</v>
      </c>
      <c r="B6" s="17" t="s">
        <v>142</v>
      </c>
      <c r="C6" s="4" t="s">
        <v>143</v>
      </c>
      <c r="D6" s="27" t="s">
        <v>165</v>
      </c>
      <c r="E6" s="27" t="s">
        <v>136</v>
      </c>
      <c r="F6" s="31" t="str">
        <f>IF(COUNTIF('Risk-Control Matrix'!E4:E12,"X")=0,"—",_xlfn.TEXTJOIN(", ",TRUE(),IF('Risk-Control Matrix'!E4="X",RIGHT('Risk-Control Matrix'!$A$4,4),""),IF('Risk-Control Matrix'!E5="X",RIGHT('Risk-Control Matrix'!$A$5,4),""),IF('Risk-Control Matrix'!E6="X",RIGHT('Risk-Control Matrix'!$A$6,4),""),IF('Risk-Control Matrix'!E7="X",RIGHT('Risk-Control Matrix'!$A$7,4),""),IF('Risk-Control Matrix'!E8="X",RIGHT('Risk-Control Matrix'!$A$8,4),""),IF('Risk-Control Matrix'!E9="X",RIGHT('Risk-Control Matrix'!$A$9,4),""),IF('Risk-Control Matrix'!E10="X",RIGHT('Risk-Control Matrix'!$A$10,4),""),IF('Risk-Control Matrix'!E11="X",RIGHT('Risk-Control Matrix'!$A$11,4),""),IF('Risk-Control Matrix'!E12="X",RIGHT('Risk-Control Matrix'!$A$12,4),"")))</f>
        <v>0001</v>
      </c>
      <c r="G6" s="19">
        <f>COUNTIF('Risk-Control Matrix'!E4:E12,"X")</f>
        <v>1</v>
      </c>
      <c r="H6" s="21" t="s">
        <v>35</v>
      </c>
      <c r="I6" s="21" t="s">
        <v>322</v>
      </c>
      <c r="J6" s="22"/>
      <c r="K6" s="22"/>
      <c r="L6" s="22"/>
      <c r="M6" s="22"/>
      <c r="N6" s="21" t="s">
        <v>31</v>
      </c>
    </row>
    <row r="7" spans="1:14" ht="54" customHeight="1" x14ac:dyDescent="0.25">
      <c r="A7" s="26" t="s">
        <v>433</v>
      </c>
      <c r="B7" s="17" t="s">
        <v>144</v>
      </c>
      <c r="C7" s="4" t="s">
        <v>145</v>
      </c>
      <c r="D7" s="27" t="s">
        <v>140</v>
      </c>
      <c r="E7" s="27" t="s">
        <v>141</v>
      </c>
      <c r="F7" s="31" t="str">
        <f>IF(COUNTIF('Risk-Control Matrix'!F4:F12,"X")=0,"—",_xlfn.TEXTJOIN(", ",TRUE(),IF('Risk-Control Matrix'!F4="X",RIGHT('Risk-Control Matrix'!$A$4,4),""),IF('Risk-Control Matrix'!F5="X",RIGHT('Risk-Control Matrix'!$A$5,4),""),IF('Risk-Control Matrix'!F6="X",RIGHT('Risk-Control Matrix'!$A$6,4),""),IF('Risk-Control Matrix'!F7="X",RIGHT('Risk-Control Matrix'!$A$7,4),""),IF('Risk-Control Matrix'!F8="X",RIGHT('Risk-Control Matrix'!$A$8,4),""),IF('Risk-Control Matrix'!F9="X",RIGHT('Risk-Control Matrix'!$A$9,4),""),IF('Risk-Control Matrix'!F10="X",RIGHT('Risk-Control Matrix'!$A$10,4),""),IF('Risk-Control Matrix'!F11="X",RIGHT('Risk-Control Matrix'!$A$11,4),""),IF('Risk-Control Matrix'!F12="X",RIGHT('Risk-Control Matrix'!$A$12,4),"")))</f>
        <v>0001, 0005</v>
      </c>
      <c r="G7" s="19">
        <f>COUNTIF('Risk-Control Matrix'!F4:F12,"X")</f>
        <v>2</v>
      </c>
      <c r="H7" s="21" t="s">
        <v>37</v>
      </c>
      <c r="I7" s="21" t="s">
        <v>322</v>
      </c>
      <c r="J7" s="22"/>
      <c r="K7" s="22"/>
      <c r="L7" s="22"/>
      <c r="M7" s="22"/>
      <c r="N7" s="21" t="s">
        <v>325</v>
      </c>
    </row>
    <row r="8" spans="1:14" ht="54" customHeight="1" x14ac:dyDescent="0.25">
      <c r="A8" s="26" t="s">
        <v>434</v>
      </c>
      <c r="B8" s="17" t="s">
        <v>146</v>
      </c>
      <c r="C8" s="4" t="s">
        <v>147</v>
      </c>
      <c r="D8" s="27" t="s">
        <v>458</v>
      </c>
      <c r="E8" s="27" t="s">
        <v>141</v>
      </c>
      <c r="F8" s="31" t="str">
        <f>IF(COUNTIF('Risk-Control Matrix'!G4:G12,"X")=0,"—",_xlfn.TEXTJOIN(", ",TRUE(),IF('Risk-Control Matrix'!G4="X",RIGHT('Risk-Control Matrix'!$A$4,4),""),IF('Risk-Control Matrix'!G5="X",RIGHT('Risk-Control Matrix'!$A$5,4),""),IF('Risk-Control Matrix'!G6="X",RIGHT('Risk-Control Matrix'!$A$6,4),""),IF('Risk-Control Matrix'!G7="X",RIGHT('Risk-Control Matrix'!$A$7,4),""),IF('Risk-Control Matrix'!G8="X",RIGHT('Risk-Control Matrix'!$A$8,4),""),IF('Risk-Control Matrix'!G9="X",RIGHT('Risk-Control Matrix'!$A$9,4),""),IF('Risk-Control Matrix'!G10="X",RIGHT('Risk-Control Matrix'!$A$10,4),""),IF('Risk-Control Matrix'!G11="X",RIGHT('Risk-Control Matrix'!$A$11,4),""),IF('Risk-Control Matrix'!G12="X",RIGHT('Risk-Control Matrix'!$A$12,4),"")))</f>
        <v>0008</v>
      </c>
      <c r="G8" s="19">
        <f>COUNTIF('Risk-Control Matrix'!G4:G12,"X")</f>
        <v>1</v>
      </c>
      <c r="H8" s="21" t="s">
        <v>37</v>
      </c>
      <c r="I8" s="21" t="s">
        <v>66</v>
      </c>
      <c r="J8" s="22"/>
      <c r="K8" s="22"/>
      <c r="L8" s="22"/>
      <c r="M8" s="22"/>
      <c r="N8" s="21" t="s">
        <v>326</v>
      </c>
    </row>
    <row r="9" spans="1:14" ht="54" customHeight="1" x14ac:dyDescent="0.25">
      <c r="A9" s="115" t="s">
        <v>435</v>
      </c>
      <c r="B9" s="117" t="s">
        <v>148</v>
      </c>
      <c r="C9" s="118" t="s">
        <v>149</v>
      </c>
      <c r="D9" s="119" t="s">
        <v>459</v>
      </c>
      <c r="E9" s="119" t="s">
        <v>141</v>
      </c>
      <c r="F9" s="120" t="str">
        <f>IF(COUNTIF('Risk-Control Matrix'!H4:H12,"X")=0,"—",_xlfn.TEXTJOIN(", ",TRUE(),IF('Risk-Control Matrix'!H4="X",RIGHT('Risk-Control Matrix'!$A$4,4),""),IF('Risk-Control Matrix'!H5="X",RIGHT('Risk-Control Matrix'!$A$5,4),""),IF('Risk-Control Matrix'!H6="X",RIGHT('Risk-Control Matrix'!$A$6,4),""),IF('Risk-Control Matrix'!H7="X",RIGHT('Risk-Control Matrix'!$A$7,4),""),IF('Risk-Control Matrix'!H8="X",RIGHT('Risk-Control Matrix'!$A$8,4),""),IF('Risk-Control Matrix'!H9="X",RIGHT('Risk-Control Matrix'!$A$9,4),""),IF('Risk-Control Matrix'!H10="X",RIGHT('Risk-Control Matrix'!$A$10,4),""),IF('Risk-Control Matrix'!H11="X",RIGHT('Risk-Control Matrix'!$A$11,4),""),IF('Risk-Control Matrix'!H12="X",RIGHT('Risk-Control Matrix'!$A$12,4),"")))</f>
        <v>0004</v>
      </c>
      <c r="G9" s="121">
        <f>COUNTIF('Risk-Control Matrix'!H4:H12,"X")</f>
        <v>1</v>
      </c>
      <c r="H9" s="122" t="s">
        <v>37</v>
      </c>
      <c r="I9" s="122" t="s">
        <v>322</v>
      </c>
      <c r="J9" s="123"/>
      <c r="K9" s="123"/>
      <c r="L9" s="123"/>
      <c r="M9" s="123"/>
      <c r="N9" s="122" t="s">
        <v>326</v>
      </c>
    </row>
    <row r="10" spans="1:14" ht="38.25" x14ac:dyDescent="0.25">
      <c r="A10" s="124" t="s">
        <v>460</v>
      </c>
      <c r="B10" s="129" t="s">
        <v>461</v>
      </c>
      <c r="C10" s="131" t="s">
        <v>462</v>
      </c>
      <c r="D10" s="133" t="s">
        <v>140</v>
      </c>
      <c r="E10" s="133" t="s">
        <v>141</v>
      </c>
      <c r="F10" s="125">
        <v>1</v>
      </c>
      <c r="G10" s="127">
        <v>1</v>
      </c>
      <c r="H10" s="137" t="s">
        <v>37</v>
      </c>
      <c r="I10" s="135" t="s">
        <v>322</v>
      </c>
      <c r="J10" s="139"/>
      <c r="K10" s="139"/>
      <c r="L10" s="139"/>
      <c r="M10" s="139"/>
      <c r="N10" s="140" t="s">
        <v>137</v>
      </c>
    </row>
    <row r="11" spans="1:14" ht="38.25" x14ac:dyDescent="0.25">
      <c r="A11" s="124" t="s">
        <v>463</v>
      </c>
      <c r="B11" s="129" t="s">
        <v>464</v>
      </c>
      <c r="C11" s="131" t="s">
        <v>465</v>
      </c>
      <c r="D11" s="133" t="s">
        <v>135</v>
      </c>
      <c r="E11" s="133" t="s">
        <v>141</v>
      </c>
      <c r="F11" s="125">
        <v>1</v>
      </c>
      <c r="G11" s="127">
        <v>1</v>
      </c>
      <c r="H11" s="137" t="s">
        <v>37</v>
      </c>
      <c r="I11" s="135" t="s">
        <v>322</v>
      </c>
      <c r="J11" s="139"/>
      <c r="K11" s="139"/>
      <c r="L11" s="139"/>
      <c r="M11" s="139"/>
      <c r="N11" s="140" t="s">
        <v>137</v>
      </c>
    </row>
    <row r="12" spans="1:14" ht="51" x14ac:dyDescent="0.25">
      <c r="A12" s="116" t="s">
        <v>466</v>
      </c>
      <c r="B12" s="130" t="s">
        <v>467</v>
      </c>
      <c r="C12" s="132" t="s">
        <v>468</v>
      </c>
      <c r="D12" s="134" t="s">
        <v>135</v>
      </c>
      <c r="E12" s="134" t="s">
        <v>141</v>
      </c>
      <c r="F12" s="126">
        <v>5</v>
      </c>
      <c r="G12" s="128">
        <v>1</v>
      </c>
      <c r="H12" s="138" t="s">
        <v>37</v>
      </c>
      <c r="I12" s="136" t="s">
        <v>322</v>
      </c>
      <c r="J12" s="141"/>
      <c r="K12" s="141"/>
      <c r="L12" s="141"/>
      <c r="M12" s="141"/>
      <c r="N12" s="142" t="s">
        <v>137</v>
      </c>
    </row>
  </sheetData>
  <mergeCells count="5">
    <mergeCell ref="A1:N1"/>
    <mergeCell ref="A2:E2"/>
    <mergeCell ref="F2:G2"/>
    <mergeCell ref="H2:I2"/>
    <mergeCell ref="J2:N2"/>
  </mergeCells>
  <conditionalFormatting sqref="H4:H12">
    <cfRule type="expression" dxfId="27" priority="2">
      <formula>$H4="Implemented"</formula>
    </cfRule>
    <cfRule type="expression" dxfId="26" priority="3">
      <formula>$H4="Partially Implemented"</formula>
    </cfRule>
    <cfRule type="expression" dxfId="25" priority="4">
      <formula>$H4="Planned"</formula>
    </cfRule>
    <cfRule type="expression" dxfId="24" priority="5">
      <formula>$H4="Not Implemented"</formula>
    </cfRule>
  </conditionalFormatting>
  <conditionalFormatting sqref="I4:I12">
    <cfRule type="expression" dxfId="23" priority="6">
      <formula>$I4="Effective"</formula>
    </cfRule>
    <cfRule type="expression" dxfId="22" priority="7">
      <formula>$I4="Partially Effective"</formula>
    </cfRule>
    <cfRule type="expression" dxfId="21" priority="8">
      <formula>$I4="Ineffective"</formula>
    </cfRule>
  </conditionalFormatting>
  <dataValidations count="10">
    <dataValidation type="list" allowBlank="1" sqref="D4:D9" xr:uid="{00000000-0002-0000-0400-000000000000}">
      <formula1>"Preventive,Detective,Corrective,Preventive &amp; Detective,Detective &amp; Corrective,Preventive &amp; Corrective"</formula1>
      <formula2>0</formula2>
    </dataValidation>
    <dataValidation type="list" allowBlank="1" sqref="E4:E9" xr:uid="{00000000-0002-0000-0400-000001000000}">
      <formula1>"Manual,Automated,Hybrid"</formula1>
      <formula2>0</formula2>
    </dataValidation>
    <dataValidation type="list" allowBlank="1" sqref="H4:H9" xr:uid="{00000000-0002-0000-0400-000002000000}">
      <formula1>"Implemented,Partially Implemented,Planned,Not Implemented"</formula1>
      <formula2>0</formula2>
    </dataValidation>
    <dataValidation type="list" allowBlank="1" sqref="I4:I9" xr:uid="{00000000-0002-0000-0400-000003000000}">
      <formula1>"Effective,Partially Effective,Ineffective,Not Tested"</formula1>
      <formula2>0</formula2>
    </dataValidation>
    <dataValidation type="list" allowBlank="1" sqref="N4:N9" xr:uid="{00000000-0002-0000-0400-000004000000}">
      <formula1>"To Do,In Progress,Implemented,Accepted,Closed"</formula1>
      <formula2>0</formula2>
    </dataValidation>
    <dataValidation type="list" allowBlank="1" showInputMessage="1" showErrorMessage="1" sqref="D10:D12" xr:uid="{8ACE798A-D523-4E01-9E5C-37E7F5238032}">
      <formula1>"Preventive,Detective,Corrective,Preventive &amp; Detective,Detective &amp; Corrective,Preventive &amp; Corrective"</formula1>
    </dataValidation>
    <dataValidation type="list" allowBlank="1" showInputMessage="1" showErrorMessage="1" sqref="E10:E12" xr:uid="{87AF9F2D-6CCF-4EF0-87EC-384FD7800F1C}">
      <formula1>"Manual,Automated,Hybrid"</formula1>
    </dataValidation>
    <dataValidation type="list" allowBlank="1" showInputMessage="1" showErrorMessage="1" sqref="H10:H12" xr:uid="{02EC321C-C861-40B9-8CDC-1821CB848ABC}">
      <formula1>"Implemented,Partially Implemented,Planned,Not Implemented"</formula1>
    </dataValidation>
    <dataValidation type="list" allowBlank="1" showInputMessage="1" showErrorMessage="1" sqref="I10:I12" xr:uid="{67E171B0-B75E-4627-B8FC-2224E87BC44D}">
      <formula1>"Effective,Partially Effective,Ineffective,Not Tested"</formula1>
    </dataValidation>
    <dataValidation type="list" allowBlank="1" showInputMessage="1" showErrorMessage="1" sqref="N10:N12" xr:uid="{8C271191-B319-4E3A-8EDF-A43762F16B10}">
      <formula1>"To Do,In Progress,Implemented,Accepted,Closed"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1" sqref="B11"/>
    </sheetView>
  </sheetViews>
  <sheetFormatPr defaultColWidth="8.7109375" defaultRowHeight="15" x14ac:dyDescent="0.25"/>
  <cols>
    <col min="1" max="1" width="13" customWidth="1"/>
    <col min="2" max="2" width="30" customWidth="1"/>
    <col min="3" max="3" width="50" customWidth="1"/>
    <col min="4" max="4" width="16" customWidth="1"/>
    <col min="5" max="5" width="12" customWidth="1"/>
    <col min="6" max="6" width="20" customWidth="1"/>
    <col min="7" max="7" width="7" customWidth="1"/>
    <col min="8" max="8" width="15" customWidth="1"/>
    <col min="9" max="9" width="13" customWidth="1"/>
    <col min="10" max="10" width="18" customWidth="1"/>
    <col min="11" max="11" width="22" customWidth="1"/>
    <col min="12" max="12" width="30" customWidth="1"/>
    <col min="13" max="14" width="12" customWidth="1"/>
  </cols>
  <sheetData>
    <row r="1" spans="1:14" ht="25.5" customHeight="1" x14ac:dyDescent="0.25">
      <c r="A1" s="207" t="s">
        <v>402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</row>
    <row r="2" spans="1:14" ht="15.75" customHeight="1" x14ac:dyDescent="0.25">
      <c r="A2" s="184" t="s">
        <v>119</v>
      </c>
      <c r="B2" s="184"/>
      <c r="C2" s="184"/>
      <c r="D2" s="184"/>
      <c r="E2" s="184"/>
      <c r="F2" s="185" t="s">
        <v>120</v>
      </c>
      <c r="G2" s="185"/>
      <c r="H2" s="203" t="s">
        <v>121</v>
      </c>
      <c r="I2" s="203"/>
      <c r="J2" s="186" t="s">
        <v>122</v>
      </c>
      <c r="K2" s="186"/>
      <c r="L2" s="186"/>
      <c r="M2" s="186"/>
      <c r="N2" s="186"/>
    </row>
    <row r="3" spans="1:14" ht="33.75" customHeight="1" x14ac:dyDescent="0.25">
      <c r="A3" s="15" t="s">
        <v>123</v>
      </c>
      <c r="B3" s="15" t="s">
        <v>124</v>
      </c>
      <c r="C3" s="15" t="s">
        <v>125</v>
      </c>
      <c r="D3" s="15" t="s">
        <v>126</v>
      </c>
      <c r="E3" s="15" t="s">
        <v>127</v>
      </c>
      <c r="F3" s="15" t="s">
        <v>128</v>
      </c>
      <c r="G3" s="15" t="s">
        <v>117</v>
      </c>
      <c r="H3" s="15" t="s">
        <v>129</v>
      </c>
      <c r="I3" s="15" t="s">
        <v>53</v>
      </c>
      <c r="J3" s="15" t="s">
        <v>130</v>
      </c>
      <c r="K3" s="15" t="s">
        <v>131</v>
      </c>
      <c r="L3" s="15" t="s">
        <v>132</v>
      </c>
      <c r="M3" s="15" t="s">
        <v>62</v>
      </c>
      <c r="N3" s="15" t="s">
        <v>63</v>
      </c>
    </row>
    <row r="4" spans="1:14" ht="54" customHeight="1" x14ac:dyDescent="0.25">
      <c r="A4" s="26" t="s">
        <v>436</v>
      </c>
      <c r="B4" s="17" t="s">
        <v>151</v>
      </c>
      <c r="C4" s="4" t="s">
        <v>152</v>
      </c>
      <c r="D4" s="27" t="s">
        <v>135</v>
      </c>
      <c r="E4" s="27" t="s">
        <v>136</v>
      </c>
      <c r="F4" s="31" t="str">
        <f>IF(COUNTIF('Risk-Control Matrix'!L4:L15,"X")=0,"—",_xlfn.TEXTJOIN(", ",TRUE(),IF('Risk-Control Matrix'!L4="X",RIGHT('Risk-Control Matrix'!$A$4,4),""),IF('Risk-Control Matrix'!L5="X",RIGHT('Risk-Control Matrix'!$A$5,4),""),IF('Risk-Control Matrix'!L6="X",RIGHT('Risk-Control Matrix'!$A$6,4),""),IF('Risk-Control Matrix'!L7="X",RIGHT('Risk-Control Matrix'!$A$7,4),""),IF('Risk-Control Matrix'!L8="X",RIGHT('Risk-Control Matrix'!$A$8,4),""),IF('Risk-Control Matrix'!L9="X",RIGHT('Risk-Control Matrix'!$A$9,4),""),IF('Risk-Control Matrix'!L10="X",RIGHT('Risk-Control Matrix'!$A$10,4),""),IF('Risk-Control Matrix'!L11="X",RIGHT('Risk-Control Matrix'!$A$11,4),""),IF('Risk-Control Matrix'!L12="X",RIGHT('Risk-Control Matrix'!$A$12,4),""),IF('Risk-Control Matrix'!L13="X",RIGHT('Risk-Control Matrix'!$A$13,4),""),IF('Risk-Control Matrix'!L14="X",RIGHT('Risk-Control Matrix'!$A$14,4),""),IF('Risk-Control Matrix'!L15="X",RIGHT('Risk-Control Matrix'!$A$15,4),"")))</f>
        <v>0002, 0006, 0010</v>
      </c>
      <c r="G4" s="19">
        <f>COUNTIF('Risk-Control Matrix'!L4:L15,"X")</f>
        <v>3</v>
      </c>
      <c r="H4" s="21" t="s">
        <v>31</v>
      </c>
      <c r="I4" s="21" t="s">
        <v>273</v>
      </c>
      <c r="J4" s="22"/>
      <c r="K4" s="22"/>
      <c r="L4" s="22"/>
      <c r="M4" s="22"/>
      <c r="N4" s="21" t="s">
        <v>31</v>
      </c>
    </row>
    <row r="5" spans="1:14" ht="54" customHeight="1" x14ac:dyDescent="0.25">
      <c r="A5" s="26" t="s">
        <v>437</v>
      </c>
      <c r="B5" s="17" t="s">
        <v>153</v>
      </c>
      <c r="C5" s="4" t="s">
        <v>154</v>
      </c>
      <c r="D5" s="27" t="s">
        <v>150</v>
      </c>
      <c r="E5" s="27" t="s">
        <v>136</v>
      </c>
      <c r="F5" s="31" t="str">
        <f>IF(COUNTIF('Risk-Control Matrix'!M4:M15,"X")=0,"—",_xlfn.TEXTJOIN(", ",TRUE(),IF('Risk-Control Matrix'!M4="X",RIGHT('Risk-Control Matrix'!$A$4,4),""),IF('Risk-Control Matrix'!M5="X",RIGHT('Risk-Control Matrix'!$A$5,4),""),IF('Risk-Control Matrix'!M6="X",RIGHT('Risk-Control Matrix'!$A$6,4),""),IF('Risk-Control Matrix'!M7="X",RIGHT('Risk-Control Matrix'!$A$7,4),""),IF('Risk-Control Matrix'!M8="X",RIGHT('Risk-Control Matrix'!$A$8,4),""),IF('Risk-Control Matrix'!M9="X",RIGHT('Risk-Control Matrix'!$A$9,4),""),IF('Risk-Control Matrix'!M10="X",RIGHT('Risk-Control Matrix'!$A$10,4),""),IF('Risk-Control Matrix'!M11="X",RIGHT('Risk-Control Matrix'!$A$11,4),""),IF('Risk-Control Matrix'!M12="X",RIGHT('Risk-Control Matrix'!$A$12,4),""),IF('Risk-Control Matrix'!M13="X",RIGHT('Risk-Control Matrix'!$A$13,4),""),IF('Risk-Control Matrix'!M14="X",RIGHT('Risk-Control Matrix'!$A$14,4),""),IF('Risk-Control Matrix'!M15="X",RIGHT('Risk-Control Matrix'!$A$15,4),"")))</f>
        <v>0005</v>
      </c>
      <c r="G5" s="19">
        <f>COUNTIF('Risk-Control Matrix'!M4:M15,"X")</f>
        <v>1</v>
      </c>
      <c r="H5" s="21" t="s">
        <v>37</v>
      </c>
      <c r="I5" s="21" t="s">
        <v>66</v>
      </c>
      <c r="J5" s="22"/>
      <c r="K5" s="22"/>
      <c r="L5" s="22"/>
      <c r="M5" s="22"/>
      <c r="N5" s="21" t="s">
        <v>137</v>
      </c>
    </row>
    <row r="6" spans="1:14" ht="54" customHeight="1" x14ac:dyDescent="0.25">
      <c r="A6" s="26" t="s">
        <v>438</v>
      </c>
      <c r="B6" s="17" t="s">
        <v>155</v>
      </c>
      <c r="C6" s="4" t="s">
        <v>156</v>
      </c>
      <c r="D6" s="27" t="s">
        <v>150</v>
      </c>
      <c r="E6" s="27" t="s">
        <v>141</v>
      </c>
      <c r="F6" s="31" t="str">
        <f>IF(COUNTIF('Risk-Control Matrix'!N4:N15,"X")=0,"—",_xlfn.TEXTJOIN(", ",TRUE(),IF('Risk-Control Matrix'!N4="X",RIGHT('Risk-Control Matrix'!$A$4,4),""),IF('Risk-Control Matrix'!N5="X",RIGHT('Risk-Control Matrix'!$A$5,4),""),IF('Risk-Control Matrix'!N6="X",RIGHT('Risk-Control Matrix'!$A$6,4),""),IF('Risk-Control Matrix'!N7="X",RIGHT('Risk-Control Matrix'!$A$7,4),""),IF('Risk-Control Matrix'!N8="X",RIGHT('Risk-Control Matrix'!$A$8,4),""),IF('Risk-Control Matrix'!N9="X",RIGHT('Risk-Control Matrix'!$A$9,4),""),IF('Risk-Control Matrix'!N10="X",RIGHT('Risk-Control Matrix'!$A$10,4),""),IF('Risk-Control Matrix'!N11="X",RIGHT('Risk-Control Matrix'!$A$11,4),""),IF('Risk-Control Matrix'!N12="X",RIGHT('Risk-Control Matrix'!$A$12,4),""),IF('Risk-Control Matrix'!N13="X",RIGHT('Risk-Control Matrix'!$A$13,4),""),IF('Risk-Control Matrix'!N14="X",RIGHT('Risk-Control Matrix'!$A$14,4),""),IF('Risk-Control Matrix'!N15="X",RIGHT('Risk-Control Matrix'!$A$15,4),"")))</f>
        <v>0001, 0005</v>
      </c>
      <c r="G6" s="19">
        <f>COUNTIF('Risk-Control Matrix'!N4:N15,"X")</f>
        <v>2</v>
      </c>
      <c r="H6" s="21" t="s">
        <v>31</v>
      </c>
      <c r="I6" s="21" t="s">
        <v>322</v>
      </c>
      <c r="J6" s="22"/>
      <c r="K6" s="22"/>
      <c r="L6" s="22"/>
      <c r="M6" s="22"/>
      <c r="N6" s="21" t="s">
        <v>31</v>
      </c>
    </row>
    <row r="7" spans="1:14" ht="54" customHeight="1" x14ac:dyDescent="0.25">
      <c r="A7" s="26" t="s">
        <v>439</v>
      </c>
      <c r="B7" s="17" t="s">
        <v>157</v>
      </c>
      <c r="C7" s="4" t="s">
        <v>158</v>
      </c>
      <c r="D7" s="27" t="s">
        <v>150</v>
      </c>
      <c r="E7" s="27" t="s">
        <v>141</v>
      </c>
      <c r="F7" s="31" t="str">
        <f>IF(COUNTIF('Risk-Control Matrix'!O4:O15,"X")=0,"—",_xlfn.TEXTJOIN(", ",TRUE(),IF('Risk-Control Matrix'!O4="X",RIGHT('Risk-Control Matrix'!$A$4,4),""),IF('Risk-Control Matrix'!O5="X",RIGHT('Risk-Control Matrix'!$A$5,4),""),IF('Risk-Control Matrix'!O6="X",RIGHT('Risk-Control Matrix'!$A$6,4),""),IF('Risk-Control Matrix'!O7="X",RIGHT('Risk-Control Matrix'!$A$7,4),""),IF('Risk-Control Matrix'!O8="X",RIGHT('Risk-Control Matrix'!$A$8,4),""),IF('Risk-Control Matrix'!O9="X",RIGHT('Risk-Control Matrix'!$A$9,4),""),IF('Risk-Control Matrix'!O10="X",RIGHT('Risk-Control Matrix'!$A$10,4),""),IF('Risk-Control Matrix'!O11="X",RIGHT('Risk-Control Matrix'!$A$11,4),""),IF('Risk-Control Matrix'!O12="X",RIGHT('Risk-Control Matrix'!$A$12,4),""),IF('Risk-Control Matrix'!O13="X",RIGHT('Risk-Control Matrix'!$A$13,4),""),IF('Risk-Control Matrix'!O14="X",RIGHT('Risk-Control Matrix'!$A$14,4),""),IF('Risk-Control Matrix'!O15="X",RIGHT('Risk-Control Matrix'!$A$15,4),"")))</f>
        <v>0001, 0005</v>
      </c>
      <c r="G7" s="19">
        <f>COUNTIF('Risk-Control Matrix'!O4:O15,"X")</f>
        <v>2</v>
      </c>
      <c r="H7" s="21" t="s">
        <v>31</v>
      </c>
      <c r="I7" s="21" t="s">
        <v>322</v>
      </c>
      <c r="J7" s="22"/>
      <c r="K7" s="22"/>
      <c r="L7" s="22"/>
      <c r="M7" s="22"/>
      <c r="N7" s="21" t="s">
        <v>31</v>
      </c>
    </row>
    <row r="8" spans="1:14" ht="54" customHeight="1" x14ac:dyDescent="0.25">
      <c r="A8" s="26" t="s">
        <v>440</v>
      </c>
      <c r="B8" s="17" t="s">
        <v>159</v>
      </c>
      <c r="C8" s="4" t="s">
        <v>160</v>
      </c>
      <c r="D8" s="27" t="s">
        <v>150</v>
      </c>
      <c r="E8" s="27" t="s">
        <v>141</v>
      </c>
      <c r="F8" s="31" t="str">
        <f>IF(COUNTIF('Risk-Control Matrix'!P4:P15,"X")=0,"—",_xlfn.TEXTJOIN(", ",TRUE(),IF('Risk-Control Matrix'!P4="X",RIGHT('Risk-Control Matrix'!$A$4,4),""),IF('Risk-Control Matrix'!P5="X",RIGHT('Risk-Control Matrix'!$A$5,4),""),IF('Risk-Control Matrix'!P6="X",RIGHT('Risk-Control Matrix'!$A$6,4),""),IF('Risk-Control Matrix'!P7="X",RIGHT('Risk-Control Matrix'!$A$7,4),""),IF('Risk-Control Matrix'!P8="X",RIGHT('Risk-Control Matrix'!$A$8,4),""),IF('Risk-Control Matrix'!P9="X",RIGHT('Risk-Control Matrix'!$A$9,4),""),IF('Risk-Control Matrix'!P10="X",RIGHT('Risk-Control Matrix'!$A$10,4),""),IF('Risk-Control Matrix'!P11="X",RIGHT('Risk-Control Matrix'!$A$11,4),""),IF('Risk-Control Matrix'!P12="X",RIGHT('Risk-Control Matrix'!$A$12,4),""),IF('Risk-Control Matrix'!P13="X",RIGHT('Risk-Control Matrix'!$A$13,4),""),IF('Risk-Control Matrix'!P14="X",RIGHT('Risk-Control Matrix'!$A$14,4),""),IF('Risk-Control Matrix'!P15="X",RIGHT('Risk-Control Matrix'!$A$15,4),"")))</f>
        <v>0001, 0005</v>
      </c>
      <c r="G8" s="19">
        <f>COUNTIF('Risk-Control Matrix'!P4:P15,"X")</f>
        <v>2</v>
      </c>
      <c r="H8" s="21" t="s">
        <v>31</v>
      </c>
      <c r="I8" s="21" t="s">
        <v>322</v>
      </c>
      <c r="J8" s="22"/>
      <c r="K8" s="22"/>
      <c r="L8" s="22"/>
      <c r="M8" s="22"/>
      <c r="N8" s="21" t="s">
        <v>31</v>
      </c>
    </row>
    <row r="9" spans="1:14" ht="54" customHeight="1" x14ac:dyDescent="0.25">
      <c r="A9" s="26" t="s">
        <v>441</v>
      </c>
      <c r="B9" s="17" t="s">
        <v>161</v>
      </c>
      <c r="C9" s="4" t="s">
        <v>162</v>
      </c>
      <c r="D9" s="27" t="s">
        <v>135</v>
      </c>
      <c r="E9" s="27" t="s">
        <v>136</v>
      </c>
      <c r="F9" s="31" t="str">
        <f>IF(COUNTIF('Risk-Control Matrix'!Q4:Q15,"X")=0,"—",_xlfn.TEXTJOIN(", ",TRUE(),IF('Risk-Control Matrix'!Q4="X",RIGHT('Risk-Control Matrix'!$A$4,4),""),IF('Risk-Control Matrix'!Q5="X",RIGHT('Risk-Control Matrix'!$A$5,4),""),IF('Risk-Control Matrix'!Q6="X",RIGHT('Risk-Control Matrix'!$A$6,4),""),IF('Risk-Control Matrix'!Q7="X",RIGHT('Risk-Control Matrix'!$A$7,4),""),IF('Risk-Control Matrix'!Q8="X",RIGHT('Risk-Control Matrix'!$A$8,4),""),IF('Risk-Control Matrix'!Q9="X",RIGHT('Risk-Control Matrix'!$A$9,4),""),IF('Risk-Control Matrix'!Q10="X",RIGHT('Risk-Control Matrix'!$A$10,4),""),IF('Risk-Control Matrix'!Q11="X",RIGHT('Risk-Control Matrix'!$A$11,4),""),IF('Risk-Control Matrix'!Q12="X",RIGHT('Risk-Control Matrix'!$A$12,4),""),IF('Risk-Control Matrix'!Q13="X",RIGHT('Risk-Control Matrix'!$A$13,4),""),IF('Risk-Control Matrix'!Q14="X",RIGHT('Risk-Control Matrix'!$A$14,4),""),IF('Risk-Control Matrix'!Q15="X",RIGHT('Risk-Control Matrix'!$A$15,4),"")))</f>
        <v>0002, 0003, 0006</v>
      </c>
      <c r="G9" s="19">
        <f>COUNTIF('Risk-Control Matrix'!Q4:Q15,"X")</f>
        <v>3</v>
      </c>
      <c r="H9" s="21" t="s">
        <v>31</v>
      </c>
      <c r="I9" s="21" t="s">
        <v>66</v>
      </c>
      <c r="J9" s="22"/>
      <c r="K9" s="22"/>
      <c r="L9" s="22"/>
      <c r="M9" s="22"/>
      <c r="N9" s="21" t="s">
        <v>31</v>
      </c>
    </row>
    <row r="10" spans="1:14" ht="54" customHeight="1" x14ac:dyDescent="0.25">
      <c r="A10" s="26" t="s">
        <v>442</v>
      </c>
      <c r="B10" s="17" t="s">
        <v>163</v>
      </c>
      <c r="C10" s="4" t="s">
        <v>164</v>
      </c>
      <c r="D10" s="27" t="s">
        <v>165</v>
      </c>
      <c r="E10" s="27" t="s">
        <v>141</v>
      </c>
      <c r="F10" s="31" t="str">
        <f>IF(COUNTIF('Risk-Control Matrix'!R4:R15,"X")=0,"—",_xlfn.TEXTJOIN(", ",TRUE(),IF('Risk-Control Matrix'!R4="X",RIGHT('Risk-Control Matrix'!$A$4,4),""),IF('Risk-Control Matrix'!R5="X",RIGHT('Risk-Control Matrix'!$A$5,4),""),IF('Risk-Control Matrix'!R6="X",RIGHT('Risk-Control Matrix'!$A$6,4),""),IF('Risk-Control Matrix'!R7="X",RIGHT('Risk-Control Matrix'!$A$7,4),""),IF('Risk-Control Matrix'!R8="X",RIGHT('Risk-Control Matrix'!$A$8,4),""),IF('Risk-Control Matrix'!R9="X",RIGHT('Risk-Control Matrix'!$A$9,4),""),IF('Risk-Control Matrix'!R10="X",RIGHT('Risk-Control Matrix'!$A$10,4),""),IF('Risk-Control Matrix'!R11="X",RIGHT('Risk-Control Matrix'!$A$11,4),""),IF('Risk-Control Matrix'!R12="X",RIGHT('Risk-Control Matrix'!$A$12,4),""),IF('Risk-Control Matrix'!R13="X",RIGHT('Risk-Control Matrix'!$A$13,4),""),IF('Risk-Control Matrix'!R14="X",RIGHT('Risk-Control Matrix'!$A$14,4),""),IF('Risk-Control Matrix'!R15="X",RIGHT('Risk-Control Matrix'!$A$15,4),"")))</f>
        <v>—</v>
      </c>
      <c r="G10" s="19">
        <f>COUNTIF('Risk-Control Matrix'!R4:R15,"X")</f>
        <v>0</v>
      </c>
      <c r="H10" s="21" t="s">
        <v>37</v>
      </c>
      <c r="I10" s="21" t="s">
        <v>66</v>
      </c>
      <c r="J10" s="22"/>
      <c r="K10" s="22"/>
      <c r="L10" s="22"/>
      <c r="M10" s="22"/>
      <c r="N10" s="21" t="s">
        <v>137</v>
      </c>
    </row>
    <row r="11" spans="1:14" ht="51" x14ac:dyDescent="0.25">
      <c r="A11" s="26" t="s">
        <v>495</v>
      </c>
      <c r="B11" s="17" t="s">
        <v>496</v>
      </c>
      <c r="C11" s="4" t="s">
        <v>497</v>
      </c>
      <c r="D11" s="27" t="s">
        <v>165</v>
      </c>
      <c r="E11" s="27" t="s">
        <v>141</v>
      </c>
      <c r="F11" s="31" t="str">
        <f>IF(COUNTIF('Risk-Control Matrix'!S4:S15,"X")=0,"—",_xlfn.TEXTJOIN(", ",TRUE(),IF('Risk-Control Matrix'!S4="X",RIGHT('Risk-Control Matrix'!$A$4,4),""),IF('Risk-Control Matrix'!S5="X",RIGHT('Risk-Control Matrix'!$A$5,4),""),IF('Risk-Control Matrix'!S6="X",RIGHT('Risk-Control Matrix'!$A$6,4),""),IF('Risk-Control Matrix'!S7="X",RIGHT('Risk-Control Matrix'!$A$7,4),""),IF('Risk-Control Matrix'!S8="X",RIGHT('Risk-Control Matrix'!$A$8,4),""),IF('Risk-Control Matrix'!S9="X",RIGHT('Risk-Control Matrix'!$A$9,4),""),IF('Risk-Control Matrix'!S10="X",RIGHT('Risk-Control Matrix'!$A$10,4),""),IF('Risk-Control Matrix'!S11="X",RIGHT('Risk-Control Matrix'!$A$11,4),""),IF('Risk-Control Matrix'!S12="X",RIGHT('Risk-Control Matrix'!$A$12,4),""),IF('Risk-Control Matrix'!S13="X",RIGHT('Risk-Control Matrix'!$A$13,4),""),IF('Risk-Control Matrix'!S14="X",RIGHT('Risk-Control Matrix'!$A$14,4),""),IF('Risk-Control Matrix'!S15="X",RIGHT('Risk-Control Matrix'!$A$15,4),"")))</f>
        <v>0012</v>
      </c>
      <c r="G11" s="19">
        <f>COUNTIF('Risk-Control Matrix'!S4:S15,"X")</f>
        <v>1</v>
      </c>
      <c r="H11" s="21" t="s">
        <v>37</v>
      </c>
      <c r="I11" s="21" t="s">
        <v>245</v>
      </c>
      <c r="J11" s="22"/>
      <c r="K11" s="22"/>
      <c r="L11" s="22"/>
      <c r="M11" s="22"/>
      <c r="N11" s="21" t="s">
        <v>137</v>
      </c>
    </row>
  </sheetData>
  <autoFilter ref="A3:N10" xr:uid="{00000000-0009-0000-0000-000005000000}"/>
  <mergeCells count="5">
    <mergeCell ref="A1:N1"/>
    <mergeCell ref="A2:E2"/>
    <mergeCell ref="F2:G2"/>
    <mergeCell ref="H2:I2"/>
    <mergeCell ref="J2:N2"/>
  </mergeCells>
  <conditionalFormatting sqref="H4:H11">
    <cfRule type="expression" dxfId="20" priority="2">
      <formula>$H4="Implemented"</formula>
    </cfRule>
    <cfRule type="expression" dxfId="19" priority="3">
      <formula>$H4="Partially Implemented"</formula>
    </cfRule>
    <cfRule type="expression" dxfId="18" priority="4">
      <formula>$H4="Planned"</formula>
    </cfRule>
    <cfRule type="expression" dxfId="17" priority="5">
      <formula>$H4="Not Implemented"</formula>
    </cfRule>
  </conditionalFormatting>
  <conditionalFormatting sqref="I4:I11">
    <cfRule type="expression" dxfId="16" priority="6">
      <formula>$I4="Effective"</formula>
    </cfRule>
    <cfRule type="expression" dxfId="15" priority="7">
      <formula>$I4="Partially Effective"</formula>
    </cfRule>
    <cfRule type="expression" dxfId="14" priority="8">
      <formula>$I4="Ineffective"</formula>
    </cfRule>
  </conditionalFormatting>
  <dataValidations count="5">
    <dataValidation type="list" allowBlank="1" sqref="D4:D11" xr:uid="{00000000-0002-0000-0500-000000000000}">
      <formula1>"Preventive,Detective,Corrective,Preventive &amp; Detective,Detective &amp; Corrective,Preventive &amp; Corrective"</formula1>
      <formula2>0</formula2>
    </dataValidation>
    <dataValidation type="list" allowBlank="1" sqref="E4:E11" xr:uid="{00000000-0002-0000-0500-000001000000}">
      <formula1>"Manual,Automated,Hybrid"</formula1>
      <formula2>0</formula2>
    </dataValidation>
    <dataValidation type="list" allowBlank="1" sqref="H4:H10" xr:uid="{00000000-0002-0000-0500-000002000000}">
      <formula1>"Implemented,Partially Implemented,Planned,Not Implemented"</formula1>
      <formula2>0</formula2>
    </dataValidation>
    <dataValidation type="list" allowBlank="1" sqref="I4:I11" xr:uid="{00000000-0002-0000-0500-000003000000}">
      <formula1>"Effective,Partially Effective,Ineffective,Not Tested"</formula1>
      <formula2>0</formula2>
    </dataValidation>
    <dataValidation type="list" allowBlank="1" sqref="N4:N10" xr:uid="{00000000-0002-0000-0500-000004000000}">
      <formula1>"To Do,In Progress,Implemented,Accepted,Closed"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8" sqref="I8"/>
    </sheetView>
  </sheetViews>
  <sheetFormatPr defaultColWidth="8.7109375" defaultRowHeight="15" x14ac:dyDescent="0.25"/>
  <cols>
    <col min="1" max="1" width="13" customWidth="1"/>
    <col min="2" max="2" width="30" customWidth="1"/>
    <col min="3" max="3" width="50" customWidth="1"/>
    <col min="4" max="4" width="16" customWidth="1"/>
    <col min="5" max="5" width="12" customWidth="1"/>
    <col min="6" max="6" width="20" customWidth="1"/>
    <col min="7" max="7" width="7" customWidth="1"/>
    <col min="8" max="8" width="15" customWidth="1"/>
    <col min="9" max="9" width="13" customWidth="1"/>
    <col min="10" max="10" width="18" customWidth="1"/>
    <col min="11" max="11" width="22" customWidth="1"/>
    <col min="12" max="12" width="30" customWidth="1"/>
    <col min="13" max="14" width="12" customWidth="1"/>
  </cols>
  <sheetData>
    <row r="1" spans="1:14" ht="25.5" customHeight="1" x14ac:dyDescent="0.25">
      <c r="A1" s="208" t="s">
        <v>403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</row>
    <row r="2" spans="1:14" ht="15.75" customHeight="1" x14ac:dyDescent="0.25">
      <c r="A2" s="184" t="s">
        <v>119</v>
      </c>
      <c r="B2" s="184"/>
      <c r="C2" s="184"/>
      <c r="D2" s="184"/>
      <c r="E2" s="184"/>
      <c r="F2" s="185" t="s">
        <v>120</v>
      </c>
      <c r="G2" s="185"/>
      <c r="H2" s="203" t="s">
        <v>121</v>
      </c>
      <c r="I2" s="203"/>
      <c r="J2" s="186" t="s">
        <v>122</v>
      </c>
      <c r="K2" s="186"/>
      <c r="L2" s="186"/>
      <c r="M2" s="186"/>
      <c r="N2" s="186"/>
    </row>
    <row r="3" spans="1:14" ht="33.75" customHeight="1" x14ac:dyDescent="0.25">
      <c r="A3" s="15" t="s">
        <v>123</v>
      </c>
      <c r="B3" s="15" t="s">
        <v>124</v>
      </c>
      <c r="C3" s="15" t="s">
        <v>125</v>
      </c>
      <c r="D3" s="15" t="s">
        <v>126</v>
      </c>
      <c r="E3" s="15" t="s">
        <v>127</v>
      </c>
      <c r="F3" s="15" t="s">
        <v>128</v>
      </c>
      <c r="G3" s="15" t="s">
        <v>117</v>
      </c>
      <c r="H3" s="15" t="s">
        <v>129</v>
      </c>
      <c r="I3" s="15" t="s">
        <v>53</v>
      </c>
      <c r="J3" s="15" t="s">
        <v>130</v>
      </c>
      <c r="K3" s="15" t="s">
        <v>131</v>
      </c>
      <c r="L3" s="15" t="s">
        <v>132</v>
      </c>
      <c r="M3" s="15" t="s">
        <v>62</v>
      </c>
      <c r="N3" s="15" t="s">
        <v>63</v>
      </c>
    </row>
    <row r="4" spans="1:14" ht="54" customHeight="1" x14ac:dyDescent="0.25">
      <c r="A4" s="26" t="s">
        <v>443</v>
      </c>
      <c r="B4" s="17" t="s">
        <v>166</v>
      </c>
      <c r="C4" s="4" t="s">
        <v>167</v>
      </c>
      <c r="D4" s="27" t="s">
        <v>150</v>
      </c>
      <c r="E4" s="27" t="s">
        <v>141</v>
      </c>
      <c r="F4" s="31" t="str">
        <f>IF(COUNTIF('Risk-Control Matrix'!T4:T12,"X")=0,"—",_xlfn.TEXTJOIN(", ",TRUE(),IF('Risk-Control Matrix'!T4="X",RIGHT('Risk-Control Matrix'!$A$4,4),""),IF('Risk-Control Matrix'!T5="X",RIGHT('Risk-Control Matrix'!$A$5,4),""),IF('Risk-Control Matrix'!T6="X",RIGHT('Risk-Control Matrix'!$A$6,4),""),IF('Risk-Control Matrix'!T7="X",RIGHT('Risk-Control Matrix'!$A$7,4),""),IF('Risk-Control Matrix'!T8="X",RIGHT('Risk-Control Matrix'!$A$8,4),""),IF('Risk-Control Matrix'!T9="X",RIGHT('Risk-Control Matrix'!$A$9,4),""),IF('Risk-Control Matrix'!T10="X",RIGHT('Risk-Control Matrix'!$A$10,4),""),IF('Risk-Control Matrix'!T11="X",RIGHT('Risk-Control Matrix'!$A$11,4),""),IF('Risk-Control Matrix'!T12="X",RIGHT('Risk-Control Matrix'!$A$12,4),"")))</f>
        <v>0002, 0006, 0008</v>
      </c>
      <c r="G4" s="19">
        <f>COUNTIF('Risk-Control Matrix'!T4:T12,"X")</f>
        <v>3</v>
      </c>
      <c r="H4" s="21" t="s">
        <v>37</v>
      </c>
      <c r="I4" s="21" t="s">
        <v>66</v>
      </c>
      <c r="J4" s="22"/>
      <c r="K4" s="22"/>
      <c r="L4" s="22"/>
      <c r="M4" s="22"/>
      <c r="N4" s="21" t="s">
        <v>137</v>
      </c>
    </row>
    <row r="5" spans="1:14" ht="54" customHeight="1" x14ac:dyDescent="0.25">
      <c r="A5" s="26" t="s">
        <v>444</v>
      </c>
      <c r="B5" s="17" t="s">
        <v>168</v>
      </c>
      <c r="C5" s="4" t="s">
        <v>169</v>
      </c>
      <c r="D5" s="27" t="s">
        <v>135</v>
      </c>
      <c r="E5" s="27" t="s">
        <v>141</v>
      </c>
      <c r="F5" s="31" t="str">
        <f>IF(COUNTIF('Risk-Control Matrix'!U4:U12,"X")=0,"—",_xlfn.TEXTJOIN(", ",TRUE(),IF('Risk-Control Matrix'!U4="X",RIGHT('Risk-Control Matrix'!$A$4,4),""),IF('Risk-Control Matrix'!U5="X",RIGHT('Risk-Control Matrix'!$A$5,4),""),IF('Risk-Control Matrix'!U6="X",RIGHT('Risk-Control Matrix'!$A$6,4),""),IF('Risk-Control Matrix'!U7="X",RIGHT('Risk-Control Matrix'!$A$7,4),""),IF('Risk-Control Matrix'!U8="X",RIGHT('Risk-Control Matrix'!$A$8,4),""),IF('Risk-Control Matrix'!U9="X",RIGHT('Risk-Control Matrix'!$A$9,4),""),IF('Risk-Control Matrix'!U10="X",RIGHT('Risk-Control Matrix'!$A$10,4),""),IF('Risk-Control Matrix'!U11="X",RIGHT('Risk-Control Matrix'!$A$11,4),""),IF('Risk-Control Matrix'!U12="X",RIGHT('Risk-Control Matrix'!$A$12,4),"")))</f>
        <v>0001, 0002, 0003, 0008</v>
      </c>
      <c r="G5" s="19">
        <f>COUNTIF('Risk-Control Matrix'!U4:U12,"X")</f>
        <v>4</v>
      </c>
      <c r="H5" s="21" t="s">
        <v>37</v>
      </c>
      <c r="I5" s="21" t="s">
        <v>322</v>
      </c>
      <c r="J5" s="22"/>
      <c r="K5" s="22"/>
      <c r="L5" s="22"/>
      <c r="M5" s="22"/>
      <c r="N5" s="21" t="s">
        <v>31</v>
      </c>
    </row>
    <row r="6" spans="1:14" ht="54" customHeight="1" x14ac:dyDescent="0.25">
      <c r="A6" s="26" t="s">
        <v>445</v>
      </c>
      <c r="B6" s="17" t="s">
        <v>170</v>
      </c>
      <c r="C6" s="4" t="s">
        <v>171</v>
      </c>
      <c r="D6" s="27" t="s">
        <v>135</v>
      </c>
      <c r="E6" s="27" t="s">
        <v>141</v>
      </c>
      <c r="F6" s="31" t="str">
        <f>IF(COUNTIF('Risk-Control Matrix'!V4:V12,"X")=0,"—",_xlfn.TEXTJOIN(", ",TRUE(),IF('Risk-Control Matrix'!V4="X",RIGHT('Risk-Control Matrix'!$A$4,4),""),IF('Risk-Control Matrix'!V5="X",RIGHT('Risk-Control Matrix'!$A$5,4),""),IF('Risk-Control Matrix'!V6="X",RIGHT('Risk-Control Matrix'!$A$6,4),""),IF('Risk-Control Matrix'!V7="X",RIGHT('Risk-Control Matrix'!$A$7,4),""),IF('Risk-Control Matrix'!V8="X",RIGHT('Risk-Control Matrix'!$A$8,4),""),IF('Risk-Control Matrix'!V9="X",RIGHT('Risk-Control Matrix'!$A$9,4),""),IF('Risk-Control Matrix'!V10="X",RIGHT('Risk-Control Matrix'!$A$10,4),""),IF('Risk-Control Matrix'!V11="X",RIGHT('Risk-Control Matrix'!$A$11,4),""),IF('Risk-Control Matrix'!V12="X",RIGHT('Risk-Control Matrix'!$A$12,4),"")))</f>
        <v>0002, 0004, 0007</v>
      </c>
      <c r="G6" s="19">
        <f>COUNTIF('Risk-Control Matrix'!V4:V12,"X")</f>
        <v>3</v>
      </c>
      <c r="H6" s="21" t="s">
        <v>37</v>
      </c>
      <c r="I6" s="21" t="s">
        <v>322</v>
      </c>
      <c r="J6" s="22"/>
      <c r="K6" s="22"/>
      <c r="L6" s="22"/>
      <c r="M6" s="22"/>
      <c r="N6" s="21" t="s">
        <v>137</v>
      </c>
    </row>
    <row r="7" spans="1:14" ht="54" customHeight="1" x14ac:dyDescent="0.25">
      <c r="A7" s="26" t="s">
        <v>446</v>
      </c>
      <c r="B7" s="17" t="s">
        <v>172</v>
      </c>
      <c r="C7" s="4" t="s">
        <v>173</v>
      </c>
      <c r="D7" s="27" t="s">
        <v>135</v>
      </c>
      <c r="E7" s="27" t="s">
        <v>136</v>
      </c>
      <c r="F7" s="31" t="str">
        <f>IF(COUNTIF('Risk-Control Matrix'!W4:W12,"X")=0,"—",_xlfn.TEXTJOIN(", ",TRUE(),IF('Risk-Control Matrix'!W4="X",RIGHT('Risk-Control Matrix'!$A$4,4),""),IF('Risk-Control Matrix'!W5="X",RIGHT('Risk-Control Matrix'!$A$5,4),""),IF('Risk-Control Matrix'!W6="X",RIGHT('Risk-Control Matrix'!$A$6,4),""),IF('Risk-Control Matrix'!W7="X",RIGHT('Risk-Control Matrix'!$A$7,4),""),IF('Risk-Control Matrix'!W8="X",RIGHT('Risk-Control Matrix'!$A$8,4),""),IF('Risk-Control Matrix'!W9="X",RIGHT('Risk-Control Matrix'!$A$9,4),""),IF('Risk-Control Matrix'!W10="X",RIGHT('Risk-Control Matrix'!$A$10,4),""),IF('Risk-Control Matrix'!W11="X",RIGHT('Risk-Control Matrix'!$A$11,4),""),IF('Risk-Control Matrix'!W12="X",RIGHT('Risk-Control Matrix'!$A$12,4),"")))</f>
        <v>0002, 0004, 0006, 0007, 0009</v>
      </c>
      <c r="G7" s="19">
        <f>COUNTIF('Risk-Control Matrix'!W4:W12,"X")</f>
        <v>5</v>
      </c>
      <c r="H7" s="21" t="s">
        <v>37</v>
      </c>
      <c r="I7" s="21" t="s">
        <v>322</v>
      </c>
      <c r="J7" s="22"/>
      <c r="K7" s="22"/>
      <c r="L7" s="22"/>
      <c r="M7" s="22"/>
      <c r="N7" s="21" t="s">
        <v>137</v>
      </c>
    </row>
    <row r="8" spans="1:14" ht="54" customHeight="1" x14ac:dyDescent="0.25">
      <c r="A8" s="26" t="s">
        <v>447</v>
      </c>
      <c r="B8" s="17" t="s">
        <v>174</v>
      </c>
      <c r="C8" s="4" t="s">
        <v>175</v>
      </c>
      <c r="D8" s="27" t="s">
        <v>150</v>
      </c>
      <c r="E8" s="27" t="s">
        <v>141</v>
      </c>
      <c r="F8" s="31" t="str">
        <f>IF(COUNTIF('Risk-Control Matrix'!X4:X12,"X")=0,"—",_xlfn.TEXTJOIN(", ",TRUE(),IF('Risk-Control Matrix'!X4="X",RIGHT('Risk-Control Matrix'!$A$4,4),""),IF('Risk-Control Matrix'!X5="X",RIGHT('Risk-Control Matrix'!$A$5,4),""),IF('Risk-Control Matrix'!X6="X",RIGHT('Risk-Control Matrix'!$A$6,4),""),IF('Risk-Control Matrix'!X7="X",RIGHT('Risk-Control Matrix'!$A$7,4),""),IF('Risk-Control Matrix'!X8="X",RIGHT('Risk-Control Matrix'!$A$8,4),""),IF('Risk-Control Matrix'!X9="X",RIGHT('Risk-Control Matrix'!$A$9,4),""),IF('Risk-Control Matrix'!X10="X",RIGHT('Risk-Control Matrix'!$A$10,4),""),IF('Risk-Control Matrix'!X11="X",RIGHT('Risk-Control Matrix'!$A$11,4),""),IF('Risk-Control Matrix'!X12="X",RIGHT('Risk-Control Matrix'!$A$12,4),"")))</f>
        <v>0001, 0002, 0003, 0005, 0006, 0009</v>
      </c>
      <c r="G8" s="19">
        <f>COUNTIF('Risk-Control Matrix'!X4:X12,"X")</f>
        <v>6</v>
      </c>
      <c r="H8" s="21" t="s">
        <v>37</v>
      </c>
      <c r="I8" s="21" t="s">
        <v>322</v>
      </c>
      <c r="J8" s="22"/>
      <c r="K8" s="22"/>
      <c r="L8" s="22"/>
      <c r="M8" s="22"/>
      <c r="N8" s="21" t="s">
        <v>31</v>
      </c>
    </row>
    <row r="9" spans="1:14" ht="54" customHeight="1" x14ac:dyDescent="0.25">
      <c r="A9" s="115" t="s">
        <v>448</v>
      </c>
      <c r="B9" s="117" t="s">
        <v>176</v>
      </c>
      <c r="C9" s="118" t="s">
        <v>177</v>
      </c>
      <c r="D9" s="119" t="s">
        <v>150</v>
      </c>
      <c r="E9" s="119" t="s">
        <v>141</v>
      </c>
      <c r="F9" s="120" t="str">
        <f>IF(COUNTIF('Risk-Control Matrix'!Y4:Y12,"X")=0,"—",_xlfn.TEXTJOIN(", ",TRUE(),IF('Risk-Control Matrix'!Y4="X",RIGHT('Risk-Control Matrix'!$A$4,4),""),IF('Risk-Control Matrix'!Y5="X",RIGHT('Risk-Control Matrix'!$A$5,4),""),IF('Risk-Control Matrix'!Y6="X",RIGHT('Risk-Control Matrix'!$A$6,4),""),IF('Risk-Control Matrix'!Y7="X",RIGHT('Risk-Control Matrix'!$A$7,4),""),IF('Risk-Control Matrix'!Y8="X",RIGHT('Risk-Control Matrix'!$A$8,4),""),IF('Risk-Control Matrix'!Y9="X",RIGHT('Risk-Control Matrix'!$A$9,4),""),IF('Risk-Control Matrix'!Y10="X",RIGHT('Risk-Control Matrix'!$A$10,4),""),IF('Risk-Control Matrix'!Y11="X",RIGHT('Risk-Control Matrix'!$A$11,4),""),IF('Risk-Control Matrix'!Y12="X",RIGHT('Risk-Control Matrix'!$A$12,4),"")))</f>
        <v>0008</v>
      </c>
      <c r="G9" s="121">
        <f>COUNTIF('Risk-Control Matrix'!Y4:Y12,"X")</f>
        <v>1</v>
      </c>
      <c r="H9" s="122" t="s">
        <v>37</v>
      </c>
      <c r="I9" s="122" t="s">
        <v>66</v>
      </c>
      <c r="J9" s="123"/>
      <c r="K9" s="123"/>
      <c r="L9" s="123"/>
      <c r="M9" s="123"/>
      <c r="N9" s="122" t="s">
        <v>137</v>
      </c>
    </row>
    <row r="10" spans="1:14" ht="38.25" x14ac:dyDescent="0.25">
      <c r="A10" s="149" t="s">
        <v>472</v>
      </c>
      <c r="B10" s="150" t="s">
        <v>473</v>
      </c>
      <c r="C10" s="151" t="s">
        <v>474</v>
      </c>
      <c r="D10" s="134" t="s">
        <v>165</v>
      </c>
      <c r="E10" s="134" t="s">
        <v>141</v>
      </c>
      <c r="F10" s="153">
        <v>4</v>
      </c>
      <c r="G10" s="155">
        <v>1</v>
      </c>
      <c r="H10" s="156" t="s">
        <v>37</v>
      </c>
      <c r="I10" s="136" t="s">
        <v>322</v>
      </c>
      <c r="J10" s="158"/>
      <c r="K10" s="158"/>
      <c r="L10" s="158"/>
      <c r="M10" s="158"/>
      <c r="N10" s="142" t="s">
        <v>137</v>
      </c>
    </row>
  </sheetData>
  <autoFilter ref="A3:N9" xr:uid="{00000000-0009-0000-0000-000006000000}"/>
  <mergeCells count="5">
    <mergeCell ref="A1:N1"/>
    <mergeCell ref="A2:E2"/>
    <mergeCell ref="F2:G2"/>
    <mergeCell ref="H2:I2"/>
    <mergeCell ref="J2:N2"/>
  </mergeCells>
  <conditionalFormatting sqref="H4:H10">
    <cfRule type="expression" dxfId="13" priority="2">
      <formula>$H4="Implemented"</formula>
    </cfRule>
    <cfRule type="expression" dxfId="12" priority="3">
      <formula>$H4="Partially Implemented"</formula>
    </cfRule>
    <cfRule type="expression" dxfId="11" priority="4">
      <formula>$H4="Planned"</formula>
    </cfRule>
    <cfRule type="expression" dxfId="10" priority="5">
      <formula>$H4="Not Implemented"</formula>
    </cfRule>
  </conditionalFormatting>
  <conditionalFormatting sqref="I4:I10">
    <cfRule type="expression" dxfId="9" priority="6">
      <formula>$I4="Effective"</formula>
    </cfRule>
    <cfRule type="expression" dxfId="8" priority="7">
      <formula>$I4="Partially Effective"</formula>
    </cfRule>
    <cfRule type="expression" dxfId="7" priority="8">
      <formula>$I4="Ineffective"</formula>
    </cfRule>
  </conditionalFormatting>
  <dataValidations count="10">
    <dataValidation type="list" allowBlank="1" sqref="D4:D9" xr:uid="{00000000-0002-0000-0600-000000000000}">
      <formula1>"Preventive,Detective,Corrective,Preventive &amp; Detective,Detective &amp; Corrective,Preventive &amp; Corrective"</formula1>
      <formula2>0</formula2>
    </dataValidation>
    <dataValidation type="list" allowBlank="1" sqref="E4:E9" xr:uid="{00000000-0002-0000-0600-000001000000}">
      <formula1>"Manual,Automated,Hybrid"</formula1>
      <formula2>0</formula2>
    </dataValidation>
    <dataValidation type="list" allowBlank="1" sqref="H4:H9" xr:uid="{00000000-0002-0000-0600-000002000000}">
      <formula1>"Implemented,Partially Implemented,Planned,Not Implemented"</formula1>
      <formula2>0</formula2>
    </dataValidation>
    <dataValidation type="list" allowBlank="1" sqref="I4:I9" xr:uid="{00000000-0002-0000-0600-000003000000}">
      <formula1>"Effective,Partially Effective,Ineffective,Not Tested"</formula1>
      <formula2>0</formula2>
    </dataValidation>
    <dataValidation type="list" allowBlank="1" sqref="N4:N9" xr:uid="{00000000-0002-0000-0600-000004000000}">
      <formula1>"To Do,In Progress,Implemented,Accepted,Closed"</formula1>
      <formula2>0</formula2>
    </dataValidation>
    <dataValidation type="list" allowBlank="1" showInputMessage="1" showErrorMessage="1" sqref="D10" xr:uid="{6CB928F1-3826-4A1F-9058-516B040CA5DD}">
      <formula1>"Preventive,Detective,Corrective,Preventive &amp; Detective,Detective &amp; Corrective,Preventive &amp; Corrective"</formula1>
    </dataValidation>
    <dataValidation type="list" allowBlank="1" showInputMessage="1" showErrorMessage="1" sqref="E10" xr:uid="{8C1F3B32-30D7-49E0-B9D1-0FEF64613E50}">
      <formula1>"Manual,Automated,Hybrid"</formula1>
    </dataValidation>
    <dataValidation type="list" allowBlank="1" showInputMessage="1" showErrorMessage="1" sqref="H10" xr:uid="{FDDBC52E-8B7E-4159-BE8E-F38BFC451AF2}">
      <formula1>"Implemented,Partially Implemented,Planned,Not Implemented"</formula1>
    </dataValidation>
    <dataValidation type="list" allowBlank="1" showInputMessage="1" showErrorMessage="1" sqref="I10" xr:uid="{16F46F28-EAF7-4141-B7D5-A8E77D9542C5}">
      <formula1>"Effective,Partially Effective,Ineffective,Not Tested"</formula1>
    </dataValidation>
    <dataValidation type="list" allowBlank="1" showInputMessage="1" showErrorMessage="1" sqref="N10" xr:uid="{E9E8C34D-DA18-45C1-8381-5E00F052942E}">
      <formula1>"To Do,In Progress,Implemented,Accepted,Closed"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7" sqref="I7"/>
    </sheetView>
  </sheetViews>
  <sheetFormatPr defaultColWidth="8.7109375" defaultRowHeight="15" x14ac:dyDescent="0.25"/>
  <cols>
    <col min="1" max="1" width="13" customWidth="1"/>
    <col min="2" max="2" width="30" customWidth="1"/>
    <col min="3" max="3" width="50" customWidth="1"/>
    <col min="4" max="4" width="16" customWidth="1"/>
    <col min="5" max="5" width="12" customWidth="1"/>
    <col min="6" max="6" width="20" customWidth="1"/>
    <col min="7" max="7" width="7" customWidth="1"/>
    <col min="8" max="8" width="15" customWidth="1"/>
    <col min="9" max="9" width="13" customWidth="1"/>
    <col min="10" max="10" width="18" customWidth="1"/>
    <col min="11" max="11" width="22" customWidth="1"/>
    <col min="12" max="12" width="30" customWidth="1"/>
    <col min="13" max="14" width="12" customWidth="1"/>
  </cols>
  <sheetData>
    <row r="1" spans="1:14" ht="25.5" customHeight="1" x14ac:dyDescent="0.25">
      <c r="A1" s="209" t="s">
        <v>404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14" ht="15.75" customHeight="1" x14ac:dyDescent="0.25">
      <c r="A2" s="184" t="s">
        <v>119</v>
      </c>
      <c r="B2" s="184"/>
      <c r="C2" s="184"/>
      <c r="D2" s="184"/>
      <c r="E2" s="184"/>
      <c r="F2" s="185" t="s">
        <v>120</v>
      </c>
      <c r="G2" s="185"/>
      <c r="H2" s="203" t="s">
        <v>121</v>
      </c>
      <c r="I2" s="203"/>
      <c r="J2" s="186" t="s">
        <v>122</v>
      </c>
      <c r="K2" s="186"/>
      <c r="L2" s="186"/>
      <c r="M2" s="186"/>
      <c r="N2" s="186"/>
    </row>
    <row r="3" spans="1:14" ht="33.75" customHeight="1" x14ac:dyDescent="0.25">
      <c r="A3" s="15" t="s">
        <v>123</v>
      </c>
      <c r="B3" s="15" t="s">
        <v>124</v>
      </c>
      <c r="C3" s="15" t="s">
        <v>125</v>
      </c>
      <c r="D3" s="15" t="s">
        <v>126</v>
      </c>
      <c r="E3" s="15" t="s">
        <v>127</v>
      </c>
      <c r="F3" s="15" t="s">
        <v>128</v>
      </c>
      <c r="G3" s="15" t="s">
        <v>117</v>
      </c>
      <c r="H3" s="15" t="s">
        <v>129</v>
      </c>
      <c r="I3" s="15" t="s">
        <v>53</v>
      </c>
      <c r="J3" s="15" t="s">
        <v>130</v>
      </c>
      <c r="K3" s="15" t="s">
        <v>131</v>
      </c>
      <c r="L3" s="15" t="s">
        <v>132</v>
      </c>
      <c r="M3" s="15" t="s">
        <v>62</v>
      </c>
      <c r="N3" s="15" t="s">
        <v>63</v>
      </c>
    </row>
    <row r="4" spans="1:14" ht="54" customHeight="1" x14ac:dyDescent="0.25">
      <c r="A4" s="26" t="s">
        <v>449</v>
      </c>
      <c r="B4" s="17" t="s">
        <v>178</v>
      </c>
      <c r="C4" s="4" t="s">
        <v>179</v>
      </c>
      <c r="D4" s="27" t="s">
        <v>135</v>
      </c>
      <c r="E4" s="27" t="s">
        <v>180</v>
      </c>
      <c r="F4" s="31" t="str">
        <f>IF(COUNTIF('Risk-Control Matrix'!AA4:AA12,"X")=0,"—",_xlfn.TEXTJOIN(", ",TRUE(),IF('Risk-Control Matrix'!AA4="X",RIGHT('Risk-Control Matrix'!$A$4,4),""),IF('Risk-Control Matrix'!AA5="X",RIGHT('Risk-Control Matrix'!$A$5,4),""),IF('Risk-Control Matrix'!AA6="X",RIGHT('Risk-Control Matrix'!$A$6,4),""),IF('Risk-Control Matrix'!AA7="X",RIGHT('Risk-Control Matrix'!$A$7,4),""),IF('Risk-Control Matrix'!AA8="X",RIGHT('Risk-Control Matrix'!$A$8,4),""),IF('Risk-Control Matrix'!AA9="X",RIGHT('Risk-Control Matrix'!$A$9,4),""),IF('Risk-Control Matrix'!AA10="X",RIGHT('Risk-Control Matrix'!$A$10,4),""),IF('Risk-Control Matrix'!AA11="X",RIGHT('Risk-Control Matrix'!$A$11,4),""),IF('Risk-Control Matrix'!AA12="X",RIGHT('Risk-Control Matrix'!$A$12,4),"")))</f>
        <v>0002</v>
      </c>
      <c r="G4" s="19">
        <f>COUNTIF('Risk-Control Matrix'!AA4:AA12,"X")</f>
        <v>1</v>
      </c>
      <c r="H4" s="21" t="s">
        <v>37</v>
      </c>
      <c r="I4" s="21" t="s">
        <v>66</v>
      </c>
      <c r="J4" s="22"/>
      <c r="K4" s="22"/>
      <c r="L4" s="22"/>
      <c r="M4" s="22"/>
      <c r="N4" s="21" t="s">
        <v>137</v>
      </c>
    </row>
    <row r="5" spans="1:14" ht="54" customHeight="1" x14ac:dyDescent="0.25">
      <c r="A5" s="26" t="s">
        <v>450</v>
      </c>
      <c r="B5" s="17" t="s">
        <v>181</v>
      </c>
      <c r="C5" s="4" t="s">
        <v>182</v>
      </c>
      <c r="D5" s="27" t="s">
        <v>150</v>
      </c>
      <c r="E5" s="27" t="s">
        <v>136</v>
      </c>
      <c r="F5" s="31" t="str">
        <f>IF(COUNTIF('Risk-Control Matrix'!AB4:AB12,"X")=0,"—",_xlfn.TEXTJOIN(", ",TRUE(),IF('Risk-Control Matrix'!AB4="X",RIGHT('Risk-Control Matrix'!$A$4,4),""),IF('Risk-Control Matrix'!AB5="X",RIGHT('Risk-Control Matrix'!$A$5,4),""),IF('Risk-Control Matrix'!AB6="X",RIGHT('Risk-Control Matrix'!$A$6,4),""),IF('Risk-Control Matrix'!AB7="X",RIGHT('Risk-Control Matrix'!$A$7,4),""),IF('Risk-Control Matrix'!AB8="X",RIGHT('Risk-Control Matrix'!$A$8,4),""),IF('Risk-Control Matrix'!AB9="X",RIGHT('Risk-Control Matrix'!$A$9,4),""),IF('Risk-Control Matrix'!AB10="X",RIGHT('Risk-Control Matrix'!$A$10,4),""),IF('Risk-Control Matrix'!AB11="X",RIGHT('Risk-Control Matrix'!$A$11,4),""),IF('Risk-Control Matrix'!AB12="X",RIGHT('Risk-Control Matrix'!$A$12,4),"")))</f>
        <v>0005, 0009</v>
      </c>
      <c r="G5" s="19">
        <f>COUNTIF('Risk-Control Matrix'!AB4:AB12,"X")</f>
        <v>2</v>
      </c>
      <c r="H5" s="21" t="s">
        <v>37</v>
      </c>
      <c r="I5" s="21" t="s">
        <v>273</v>
      </c>
      <c r="J5" s="22"/>
      <c r="K5" s="22"/>
      <c r="L5" s="22"/>
      <c r="M5" s="22"/>
      <c r="N5" s="21" t="s">
        <v>137</v>
      </c>
    </row>
    <row r="6" spans="1:14" ht="54" customHeight="1" x14ac:dyDescent="0.25">
      <c r="A6" s="115" t="s">
        <v>451</v>
      </c>
      <c r="B6" s="117" t="s">
        <v>183</v>
      </c>
      <c r="C6" s="118" t="s">
        <v>184</v>
      </c>
      <c r="D6" s="119" t="s">
        <v>135</v>
      </c>
      <c r="E6" s="119" t="s">
        <v>180</v>
      </c>
      <c r="F6" s="120" t="str">
        <f>IF(COUNTIF('Risk-Control Matrix'!AC4:AC12,"X")=0,"—",_xlfn.TEXTJOIN(", ",TRUE(),IF('Risk-Control Matrix'!AC4="X",RIGHT('Risk-Control Matrix'!$A$4,4),""),IF('Risk-Control Matrix'!AC5="X",RIGHT('Risk-Control Matrix'!$A$5,4),""),IF('Risk-Control Matrix'!AC6="X",RIGHT('Risk-Control Matrix'!$A$6,4),""),IF('Risk-Control Matrix'!AC7="X",RIGHT('Risk-Control Matrix'!$A$7,4),""),IF('Risk-Control Matrix'!AC8="X",RIGHT('Risk-Control Matrix'!$A$8,4),""),IF('Risk-Control Matrix'!AC9="X",RIGHT('Risk-Control Matrix'!$A$9,4),""),IF('Risk-Control Matrix'!AC10="X",RIGHT('Risk-Control Matrix'!$A$10,4),""),IF('Risk-Control Matrix'!AC11="X",RIGHT('Risk-Control Matrix'!$A$11,4),""),IF('Risk-Control Matrix'!AC12="X",RIGHT('Risk-Control Matrix'!$A$12,4),"")))</f>
        <v>—</v>
      </c>
      <c r="G6" s="121">
        <f>COUNTIF('Risk-Control Matrix'!AC4:AC12,"X")</f>
        <v>0</v>
      </c>
      <c r="H6" s="122" t="s">
        <v>37</v>
      </c>
      <c r="I6" s="122" t="s">
        <v>66</v>
      </c>
      <c r="J6" s="123"/>
      <c r="K6" s="123"/>
      <c r="L6" s="123"/>
      <c r="M6" s="123"/>
      <c r="N6" s="122" t="s">
        <v>137</v>
      </c>
    </row>
    <row r="7" spans="1:14" ht="51" x14ac:dyDescent="0.25">
      <c r="A7" s="160" t="s">
        <v>476</v>
      </c>
      <c r="B7" s="161" t="s">
        <v>477</v>
      </c>
      <c r="C7" s="162" t="s">
        <v>478</v>
      </c>
      <c r="D7" s="133" t="s">
        <v>135</v>
      </c>
      <c r="E7" s="133" t="s">
        <v>180</v>
      </c>
      <c r="F7" s="152">
        <v>6</v>
      </c>
      <c r="G7" s="154">
        <v>1</v>
      </c>
      <c r="H7" s="163" t="s">
        <v>37</v>
      </c>
      <c r="I7" s="135" t="s">
        <v>273</v>
      </c>
      <c r="J7" s="157"/>
      <c r="K7" s="157"/>
      <c r="L7" s="157"/>
      <c r="M7" s="157"/>
      <c r="N7" s="140" t="s">
        <v>137</v>
      </c>
    </row>
    <row r="8" spans="1:14" ht="51" x14ac:dyDescent="0.25">
      <c r="A8" s="149" t="s">
        <v>479</v>
      </c>
      <c r="B8" s="150" t="s">
        <v>480</v>
      </c>
      <c r="C8" s="151" t="s">
        <v>481</v>
      </c>
      <c r="D8" s="134" t="s">
        <v>135</v>
      </c>
      <c r="E8" s="134" t="s">
        <v>180</v>
      </c>
      <c r="F8" s="153">
        <v>6</v>
      </c>
      <c r="G8" s="155">
        <v>1</v>
      </c>
      <c r="H8" s="156" t="s">
        <v>31</v>
      </c>
      <c r="I8" s="136" t="s">
        <v>245</v>
      </c>
      <c r="J8" s="158"/>
      <c r="K8" s="158"/>
      <c r="L8" s="158"/>
      <c r="M8" s="158"/>
      <c r="N8" s="142" t="s">
        <v>137</v>
      </c>
    </row>
  </sheetData>
  <autoFilter ref="A3:N6" xr:uid="{00000000-0009-0000-0000-000007000000}"/>
  <mergeCells count="5">
    <mergeCell ref="A1:N1"/>
    <mergeCell ref="A2:E2"/>
    <mergeCell ref="F2:G2"/>
    <mergeCell ref="H2:I2"/>
    <mergeCell ref="J2:N2"/>
  </mergeCells>
  <conditionalFormatting sqref="H4:H8">
    <cfRule type="expression" dxfId="6" priority="2">
      <formula>$H4="Implemented"</formula>
    </cfRule>
    <cfRule type="expression" dxfId="5" priority="3">
      <formula>$H4="Partially Implemented"</formula>
    </cfRule>
    <cfRule type="expression" dxfId="4" priority="4">
      <formula>$H4="Planned"</formula>
    </cfRule>
    <cfRule type="expression" dxfId="3" priority="5">
      <formula>$H4="Not Implemented"</formula>
    </cfRule>
  </conditionalFormatting>
  <conditionalFormatting sqref="I4:I8">
    <cfRule type="expression" dxfId="2" priority="6">
      <formula>$I4="Effective"</formula>
    </cfRule>
    <cfRule type="expression" dxfId="1" priority="7">
      <formula>$I4="Partially Effective"</formula>
    </cfRule>
    <cfRule type="expression" dxfId="0" priority="8">
      <formula>$I4="Ineffective"</formula>
    </cfRule>
  </conditionalFormatting>
  <dataValidations count="10">
    <dataValidation type="list" allowBlank="1" sqref="D4:D6" xr:uid="{00000000-0002-0000-0700-000000000000}">
      <formula1>"Preventive,Detective,Corrective,Preventive &amp; Detective,Detective &amp; Corrective,Preventive &amp; Corrective"</formula1>
      <formula2>0</formula2>
    </dataValidation>
    <dataValidation type="list" allowBlank="1" sqref="E4:E6" xr:uid="{00000000-0002-0000-0700-000001000000}">
      <formula1>"Manual,Automated,Hybrid"</formula1>
      <formula2>0</formula2>
    </dataValidation>
    <dataValidation type="list" allowBlank="1" sqref="H4:H6" xr:uid="{00000000-0002-0000-0700-000002000000}">
      <formula1>"Implemented,Partially Implemented,Planned,Not Implemented"</formula1>
      <formula2>0</formula2>
    </dataValidation>
    <dataValidation type="list" allowBlank="1" sqref="I4:I6" xr:uid="{00000000-0002-0000-0700-000003000000}">
      <formula1>"Effective,Partially Effective,Ineffective,Not Tested"</formula1>
      <formula2>0</formula2>
    </dataValidation>
    <dataValidation type="list" allowBlank="1" sqref="N4:N6" xr:uid="{00000000-0002-0000-0700-000004000000}">
      <formula1>"To Do,In Progress,Implemented,Accepted,Closed"</formula1>
      <formula2>0</formula2>
    </dataValidation>
    <dataValidation type="list" allowBlank="1" showInputMessage="1" showErrorMessage="1" sqref="D7:D8" xr:uid="{91727403-577F-4B27-B6BA-602BA28DC45C}">
      <formula1>"Preventive,Detective,Corrective,Preventive &amp; Detective,Detective &amp; Corrective,Preventive &amp; Corrective"</formula1>
    </dataValidation>
    <dataValidation type="list" allowBlank="1" showInputMessage="1" showErrorMessage="1" sqref="E7:E8" xr:uid="{FADF0C71-B71A-41EB-AC4B-013EDBBEDDF2}">
      <formula1>"Manual,Automated,Hybrid"</formula1>
    </dataValidation>
    <dataValidation type="list" allowBlank="1" showInputMessage="1" showErrorMessage="1" sqref="H7:H8" xr:uid="{6C9A32E6-929C-40EE-A27B-DC260B6925AF}">
      <formula1>"Implemented,Partially Implemented,Planned,Not Implemented"</formula1>
    </dataValidation>
    <dataValidation type="list" allowBlank="1" showInputMessage="1" showErrorMessage="1" sqref="I7:I8" xr:uid="{A2F41575-89F1-4A5F-88A0-85E43EED0285}">
      <formula1>"Effective,Partially Effective,Ineffective,Not Tested"</formula1>
    </dataValidation>
    <dataValidation type="list" allowBlank="1" showInputMessage="1" showErrorMessage="1" sqref="N7:N8" xr:uid="{92077C39-7C26-4DAA-8129-656D373B1141}">
      <formula1>"To Do,In Progress,Implemented,Accepted,Closed"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41"/>
  <sheetViews>
    <sheetView showGridLines="0" topLeftCell="A14" zoomScaleNormal="100" workbookViewId="0">
      <selection activeCell="B2" sqref="B2:G2"/>
    </sheetView>
  </sheetViews>
  <sheetFormatPr defaultColWidth="8.7109375" defaultRowHeight="15" x14ac:dyDescent="0.25"/>
  <cols>
    <col min="1" max="1" width="3" customWidth="1"/>
    <col min="2" max="2" width="17.5703125" customWidth="1"/>
    <col min="3" max="3" width="32" customWidth="1"/>
    <col min="4" max="7" width="14" customWidth="1"/>
  </cols>
  <sheetData>
    <row r="2" spans="2:7" ht="25.5" customHeight="1" x14ac:dyDescent="0.25">
      <c r="B2" s="192" t="s">
        <v>185</v>
      </c>
      <c r="C2" s="192"/>
      <c r="D2" s="192"/>
      <c r="E2" s="192"/>
      <c r="F2" s="192"/>
      <c r="G2" s="192"/>
    </row>
    <row r="4" spans="2:7" ht="15" customHeight="1" x14ac:dyDescent="0.25">
      <c r="B4" s="8" t="s">
        <v>186</v>
      </c>
      <c r="C4" s="8" t="s">
        <v>46</v>
      </c>
      <c r="E4" s="8" t="s">
        <v>187</v>
      </c>
      <c r="F4" s="214" t="s">
        <v>46</v>
      </c>
      <c r="G4" s="214"/>
    </row>
    <row r="5" spans="2:7" ht="15" customHeight="1" x14ac:dyDescent="0.25">
      <c r="B5" s="32" t="s">
        <v>188</v>
      </c>
      <c r="C5" s="4" t="s">
        <v>189</v>
      </c>
      <c r="E5" s="32" t="s">
        <v>190</v>
      </c>
      <c r="F5" s="211" t="s">
        <v>191</v>
      </c>
      <c r="G5" s="211"/>
    </row>
    <row r="6" spans="2:7" ht="15" customHeight="1" x14ac:dyDescent="0.25">
      <c r="B6" s="32" t="s">
        <v>192</v>
      </c>
      <c r="C6" s="4" t="s">
        <v>193</v>
      </c>
      <c r="E6" s="32" t="s">
        <v>194</v>
      </c>
      <c r="F6" s="211" t="s">
        <v>195</v>
      </c>
      <c r="G6" s="211"/>
    </row>
    <row r="7" spans="2:7" ht="15" customHeight="1" x14ac:dyDescent="0.25">
      <c r="B7" s="32" t="s">
        <v>196</v>
      </c>
      <c r="C7" s="4" t="s">
        <v>197</v>
      </c>
      <c r="E7" s="32" t="s">
        <v>198</v>
      </c>
      <c r="F7" s="211" t="s">
        <v>199</v>
      </c>
      <c r="G7" s="211"/>
    </row>
    <row r="8" spans="2:7" ht="15" customHeight="1" x14ac:dyDescent="0.25">
      <c r="B8" s="32" t="s">
        <v>200</v>
      </c>
      <c r="C8" s="4" t="s">
        <v>201</v>
      </c>
      <c r="E8" s="32" t="s">
        <v>202</v>
      </c>
      <c r="F8" s="211" t="s">
        <v>203</v>
      </c>
      <c r="G8" s="211"/>
    </row>
    <row r="9" spans="2:7" ht="23.25" customHeight="1" x14ac:dyDescent="0.25">
      <c r="B9" s="32" t="s">
        <v>204</v>
      </c>
      <c r="C9" s="4" t="s">
        <v>205</v>
      </c>
      <c r="E9" s="32" t="s">
        <v>206</v>
      </c>
      <c r="F9" s="211" t="s">
        <v>207</v>
      </c>
      <c r="G9" s="211"/>
    </row>
    <row r="12" spans="2:7" ht="15" customHeight="1" x14ac:dyDescent="0.25">
      <c r="B12" s="212" t="s">
        <v>208</v>
      </c>
      <c r="C12" s="212"/>
      <c r="D12" s="212"/>
      <c r="E12" s="212"/>
      <c r="F12" s="212"/>
      <c r="G12" s="212"/>
    </row>
    <row r="13" spans="2:7" ht="15" customHeight="1" x14ac:dyDescent="0.25">
      <c r="B13" s="33" t="s">
        <v>209</v>
      </c>
      <c r="C13" s="33">
        <v>1</v>
      </c>
      <c r="D13" s="33">
        <v>2</v>
      </c>
      <c r="E13" s="33">
        <v>3</v>
      </c>
      <c r="F13" s="33">
        <v>4</v>
      </c>
      <c r="G13" s="33">
        <v>5</v>
      </c>
    </row>
    <row r="14" spans="2:7" ht="15" customHeight="1" x14ac:dyDescent="0.25">
      <c r="B14" s="33">
        <v>5</v>
      </c>
      <c r="C14" s="34">
        <v>5</v>
      </c>
      <c r="D14" s="35">
        <v>10</v>
      </c>
      <c r="E14" s="36">
        <v>15</v>
      </c>
      <c r="F14" s="36">
        <v>20</v>
      </c>
      <c r="G14" s="36">
        <v>25</v>
      </c>
    </row>
    <row r="15" spans="2:7" ht="15" customHeight="1" x14ac:dyDescent="0.25">
      <c r="B15" s="33">
        <v>4</v>
      </c>
      <c r="C15" s="34">
        <v>4</v>
      </c>
      <c r="D15" s="35">
        <v>8</v>
      </c>
      <c r="E15" s="35">
        <v>12</v>
      </c>
      <c r="F15" s="36">
        <v>16</v>
      </c>
      <c r="G15" s="36">
        <v>20</v>
      </c>
    </row>
    <row r="16" spans="2:7" ht="15" customHeight="1" x14ac:dyDescent="0.25">
      <c r="B16" s="33">
        <v>3</v>
      </c>
      <c r="C16" s="37">
        <v>3</v>
      </c>
      <c r="D16" s="34">
        <v>6</v>
      </c>
      <c r="E16" s="35">
        <v>9</v>
      </c>
      <c r="F16" s="35">
        <v>12</v>
      </c>
      <c r="G16" s="36">
        <v>15</v>
      </c>
    </row>
    <row r="17" spans="2:7" ht="15" customHeight="1" x14ac:dyDescent="0.25">
      <c r="B17" s="33">
        <v>2</v>
      </c>
      <c r="C17" s="37">
        <v>2</v>
      </c>
      <c r="D17" s="34">
        <v>4</v>
      </c>
      <c r="E17" s="34">
        <v>6</v>
      </c>
      <c r="F17" s="35">
        <v>8</v>
      </c>
      <c r="G17" s="35">
        <v>10</v>
      </c>
    </row>
    <row r="18" spans="2:7" ht="15" customHeight="1" x14ac:dyDescent="0.25">
      <c r="B18" s="33">
        <v>1</v>
      </c>
      <c r="C18" s="37">
        <v>1</v>
      </c>
      <c r="D18" s="37">
        <v>2</v>
      </c>
      <c r="E18" s="37">
        <v>3</v>
      </c>
      <c r="F18" s="34">
        <v>4</v>
      </c>
      <c r="G18" s="34">
        <v>5</v>
      </c>
    </row>
    <row r="21" spans="2:7" ht="15" customHeight="1" x14ac:dyDescent="0.25">
      <c r="B21" s="8" t="s">
        <v>210</v>
      </c>
      <c r="C21" s="8" t="s">
        <v>211</v>
      </c>
      <c r="E21" s="213" t="s">
        <v>212</v>
      </c>
      <c r="F21" s="213"/>
      <c r="G21" s="213"/>
    </row>
    <row r="22" spans="2:7" ht="23.25" customHeight="1" x14ac:dyDescent="0.25">
      <c r="B22" s="36" t="s">
        <v>25</v>
      </c>
      <c r="C22" s="38" t="s">
        <v>213</v>
      </c>
      <c r="E22" s="210" t="s">
        <v>214</v>
      </c>
      <c r="F22" s="210"/>
      <c r="G22" s="210"/>
    </row>
    <row r="23" spans="2:7" ht="15" customHeight="1" x14ac:dyDescent="0.25">
      <c r="B23" s="35" t="s">
        <v>26</v>
      </c>
      <c r="C23" s="38" t="s">
        <v>215</v>
      </c>
      <c r="E23" s="210" t="s">
        <v>216</v>
      </c>
      <c r="F23" s="210"/>
      <c r="G23" s="210"/>
    </row>
    <row r="24" spans="2:7" ht="15" customHeight="1" x14ac:dyDescent="0.25">
      <c r="B24" s="34" t="s">
        <v>27</v>
      </c>
      <c r="C24" s="38" t="s">
        <v>217</v>
      </c>
      <c r="E24" s="210" t="s">
        <v>218</v>
      </c>
      <c r="F24" s="210"/>
      <c r="G24" s="210"/>
    </row>
    <row r="25" spans="2:7" ht="15" customHeight="1" x14ac:dyDescent="0.25">
      <c r="B25" s="37" t="s">
        <v>28</v>
      </c>
      <c r="C25" s="38" t="s">
        <v>219</v>
      </c>
      <c r="E25" s="210" t="s">
        <v>220</v>
      </c>
      <c r="F25" s="210"/>
      <c r="G25" s="210"/>
    </row>
    <row r="27" spans="2:7" ht="15.75" x14ac:dyDescent="0.25">
      <c r="B27" s="85" t="s">
        <v>339</v>
      </c>
    </row>
    <row r="28" spans="2:7" x14ac:dyDescent="0.25">
      <c r="B28" s="86" t="s">
        <v>340</v>
      </c>
      <c r="C28" s="87" t="s">
        <v>341</v>
      </c>
      <c r="E28" s="88" t="s">
        <v>342</v>
      </c>
    </row>
    <row r="29" spans="2:7" x14ac:dyDescent="0.25">
      <c r="B29" s="89" t="s">
        <v>273</v>
      </c>
      <c r="C29" s="90">
        <v>1</v>
      </c>
    </row>
    <row r="30" spans="2:7" x14ac:dyDescent="0.25">
      <c r="B30" s="91" t="s">
        <v>245</v>
      </c>
      <c r="C30" s="90">
        <v>0.5</v>
      </c>
    </row>
    <row r="31" spans="2:7" x14ac:dyDescent="0.25">
      <c r="B31" s="92" t="s">
        <v>322</v>
      </c>
      <c r="C31" s="90">
        <v>0</v>
      </c>
    </row>
    <row r="32" spans="2:7" x14ac:dyDescent="0.25">
      <c r="B32" s="93" t="s">
        <v>66</v>
      </c>
      <c r="C32" s="90">
        <v>0</v>
      </c>
    </row>
    <row r="34" spans="2:2" ht="15.75" x14ac:dyDescent="0.25">
      <c r="B34" s="85" t="s">
        <v>346</v>
      </c>
    </row>
    <row r="35" spans="2:2" x14ac:dyDescent="0.25">
      <c r="B35" s="101" t="s">
        <v>347</v>
      </c>
    </row>
    <row r="36" spans="2:2" x14ac:dyDescent="0.25">
      <c r="B36" s="101" t="s">
        <v>348</v>
      </c>
    </row>
    <row r="37" spans="2:2" x14ac:dyDescent="0.25">
      <c r="B37" s="101" t="s">
        <v>349</v>
      </c>
    </row>
    <row r="38" spans="2:2" x14ac:dyDescent="0.25">
      <c r="B38" s="101" t="s">
        <v>350</v>
      </c>
    </row>
    <row r="39" spans="2:2" x14ac:dyDescent="0.25">
      <c r="B39" s="101" t="s">
        <v>351</v>
      </c>
    </row>
    <row r="41" spans="2:2" x14ac:dyDescent="0.25">
      <c r="B41" s="88" t="s">
        <v>352</v>
      </c>
    </row>
  </sheetData>
  <mergeCells count="13">
    <mergeCell ref="B2:G2"/>
    <mergeCell ref="F4:G4"/>
    <mergeCell ref="F5:G5"/>
    <mergeCell ref="F6:G6"/>
    <mergeCell ref="F7:G7"/>
    <mergeCell ref="E23:G23"/>
    <mergeCell ref="E24:G24"/>
    <mergeCell ref="E25:G25"/>
    <mergeCell ref="F8:G8"/>
    <mergeCell ref="F9:G9"/>
    <mergeCell ref="B12:G12"/>
    <mergeCell ref="E21:G21"/>
    <mergeCell ref="E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61"/>
  <sheetViews>
    <sheetView showGridLines="0" topLeftCell="A9" zoomScaleNormal="100" workbookViewId="0">
      <selection activeCell="H53" sqref="H53"/>
    </sheetView>
  </sheetViews>
  <sheetFormatPr defaultColWidth="8.7109375" defaultRowHeight="15" x14ac:dyDescent="0.25"/>
  <cols>
    <col min="1" max="1" width="3" customWidth="1"/>
    <col min="2" max="2" width="24" customWidth="1"/>
    <col min="3" max="3" width="13" customWidth="1"/>
    <col min="4" max="4" width="50" customWidth="1"/>
    <col min="5" max="5" width="28" customWidth="1"/>
    <col min="6" max="6" width="36" customWidth="1"/>
  </cols>
  <sheetData>
    <row r="1" spans="2:6" ht="25.5" customHeight="1" x14ac:dyDescent="0.25">
      <c r="B1" s="192" t="s">
        <v>221</v>
      </c>
      <c r="C1" s="192"/>
      <c r="D1" s="192"/>
      <c r="E1" s="192"/>
      <c r="F1" s="192"/>
    </row>
    <row r="2" spans="2:6" ht="18" customHeight="1" x14ac:dyDescent="0.25">
      <c r="B2" s="221" t="s">
        <v>222</v>
      </c>
      <c r="C2" s="221"/>
      <c r="D2" s="221"/>
      <c r="E2" s="221"/>
      <c r="F2" s="221"/>
    </row>
    <row r="4" spans="2:6" ht="21.75" customHeight="1" x14ac:dyDescent="0.25">
      <c r="B4" s="219" t="s">
        <v>223</v>
      </c>
      <c r="C4" s="219"/>
      <c r="D4" s="219"/>
      <c r="E4" s="219"/>
      <c r="F4" s="219"/>
    </row>
    <row r="5" spans="2:6" ht="24" customHeight="1" x14ac:dyDescent="0.25">
      <c r="B5" s="8" t="s">
        <v>224</v>
      </c>
      <c r="C5" s="8" t="s">
        <v>225</v>
      </c>
      <c r="D5" s="8" t="s">
        <v>226</v>
      </c>
      <c r="E5" s="8" t="s">
        <v>227</v>
      </c>
      <c r="F5" s="8" t="s">
        <v>228</v>
      </c>
    </row>
    <row r="6" spans="2:6" ht="33.75" customHeight="1" x14ac:dyDescent="0.25">
      <c r="B6" s="3" t="s">
        <v>44</v>
      </c>
      <c r="C6" s="39" t="s">
        <v>45</v>
      </c>
      <c r="D6" s="13" t="s">
        <v>405</v>
      </c>
      <c r="E6" s="40" t="s">
        <v>452</v>
      </c>
      <c r="F6" s="41" t="s">
        <v>420</v>
      </c>
    </row>
    <row r="7" spans="2:6" ht="33.75" customHeight="1" x14ac:dyDescent="0.25">
      <c r="B7" s="42" t="s">
        <v>229</v>
      </c>
      <c r="C7" s="39" t="s">
        <v>45</v>
      </c>
      <c r="D7" s="43" t="s">
        <v>230</v>
      </c>
      <c r="E7" s="44" t="s">
        <v>231</v>
      </c>
      <c r="F7" s="45" t="s">
        <v>64</v>
      </c>
    </row>
    <row r="8" spans="2:6" ht="33.75" customHeight="1" x14ac:dyDescent="0.25">
      <c r="B8" s="3" t="s">
        <v>47</v>
      </c>
      <c r="C8" s="39" t="s">
        <v>45</v>
      </c>
      <c r="D8" s="13" t="s">
        <v>406</v>
      </c>
      <c r="E8" s="40" t="s">
        <v>453</v>
      </c>
      <c r="F8" s="41" t="s">
        <v>232</v>
      </c>
    </row>
    <row r="9" spans="2:6" ht="33.75" customHeight="1" x14ac:dyDescent="0.25">
      <c r="B9" s="42" t="s">
        <v>48</v>
      </c>
      <c r="C9" s="39" t="s">
        <v>45</v>
      </c>
      <c r="D9" s="43" t="s">
        <v>233</v>
      </c>
      <c r="E9" s="44" t="s">
        <v>234</v>
      </c>
      <c r="F9" s="45">
        <v>10</v>
      </c>
    </row>
    <row r="10" spans="2:6" ht="38.25" x14ac:dyDescent="0.25">
      <c r="B10" s="3" t="s">
        <v>235</v>
      </c>
      <c r="C10" s="46" t="s">
        <v>236</v>
      </c>
      <c r="D10" s="13" t="s">
        <v>491</v>
      </c>
      <c r="E10" s="40" t="s">
        <v>237</v>
      </c>
      <c r="F10" s="41" t="s">
        <v>238</v>
      </c>
    </row>
    <row r="11" spans="2:6" ht="38.25" x14ac:dyDescent="0.25">
      <c r="B11" s="42" t="s">
        <v>239</v>
      </c>
      <c r="C11" s="46" t="s">
        <v>236</v>
      </c>
      <c r="D11" s="43" t="s">
        <v>492</v>
      </c>
      <c r="E11" s="44" t="s">
        <v>240</v>
      </c>
      <c r="F11" s="45" t="s">
        <v>241</v>
      </c>
    </row>
    <row r="12" spans="2:6" ht="33.75" customHeight="1" x14ac:dyDescent="0.25">
      <c r="B12" s="3" t="s">
        <v>53</v>
      </c>
      <c r="C12" s="15" t="s">
        <v>242</v>
      </c>
      <c r="D12" s="13" t="s">
        <v>243</v>
      </c>
      <c r="E12" s="40" t="s">
        <v>244</v>
      </c>
      <c r="F12" s="41" t="s">
        <v>245</v>
      </c>
    </row>
    <row r="13" spans="2:6" ht="33.75" customHeight="1" x14ac:dyDescent="0.25">
      <c r="B13" s="42" t="s">
        <v>246</v>
      </c>
      <c r="C13" s="46" t="s">
        <v>247</v>
      </c>
      <c r="D13" s="43" t="s">
        <v>248</v>
      </c>
      <c r="E13" s="44" t="s">
        <v>237</v>
      </c>
      <c r="F13" s="45" t="s">
        <v>249</v>
      </c>
    </row>
    <row r="14" spans="2:6" ht="33.75" customHeight="1" x14ac:dyDescent="0.25">
      <c r="B14" s="3" t="s">
        <v>250</v>
      </c>
      <c r="C14" s="46" t="s">
        <v>247</v>
      </c>
      <c r="D14" s="13" t="s">
        <v>251</v>
      </c>
      <c r="E14" s="40" t="s">
        <v>240</v>
      </c>
      <c r="F14" s="41" t="s">
        <v>252</v>
      </c>
    </row>
    <row r="15" spans="2:6" ht="33.75" customHeight="1" x14ac:dyDescent="0.25">
      <c r="B15" s="42" t="s">
        <v>58</v>
      </c>
      <c r="C15" s="47" t="s">
        <v>253</v>
      </c>
      <c r="D15" s="43" t="s">
        <v>254</v>
      </c>
      <c r="E15" s="44" t="s">
        <v>255</v>
      </c>
      <c r="F15" s="45" t="s">
        <v>67</v>
      </c>
    </row>
    <row r="16" spans="2:6" ht="33.75" customHeight="1" x14ac:dyDescent="0.25">
      <c r="B16" s="3" t="s">
        <v>256</v>
      </c>
      <c r="C16" s="47" t="s">
        <v>253</v>
      </c>
      <c r="D16" s="13" t="s">
        <v>257</v>
      </c>
      <c r="E16" s="40" t="s">
        <v>258</v>
      </c>
      <c r="F16" s="41" t="s">
        <v>259</v>
      </c>
    </row>
    <row r="17" spans="2:6" ht="38.25" x14ac:dyDescent="0.25">
      <c r="B17" s="170" t="s">
        <v>488</v>
      </c>
      <c r="C17" s="171" t="s">
        <v>242</v>
      </c>
      <c r="D17" s="172" t="s">
        <v>489</v>
      </c>
      <c r="E17" s="173" t="s">
        <v>490</v>
      </c>
      <c r="F17" s="174">
        <v>0.56000000000000005</v>
      </c>
    </row>
    <row r="19" spans="2:6" ht="21.75" customHeight="1" x14ac:dyDescent="0.25">
      <c r="B19" s="219" t="s">
        <v>260</v>
      </c>
      <c r="C19" s="219"/>
      <c r="D19" s="219"/>
      <c r="E19" s="219"/>
      <c r="F19" s="219"/>
    </row>
    <row r="20" spans="2:6" ht="15" customHeight="1" x14ac:dyDescent="0.25">
      <c r="B20" s="8" t="s">
        <v>224</v>
      </c>
      <c r="C20" s="8" t="s">
        <v>226</v>
      </c>
      <c r="D20" s="8" t="s">
        <v>227</v>
      </c>
      <c r="E20" s="8" t="s">
        <v>228</v>
      </c>
    </row>
    <row r="21" spans="2:6" ht="25.5" x14ac:dyDescent="0.25">
      <c r="B21" s="3" t="s">
        <v>123</v>
      </c>
      <c r="C21" s="13" t="s">
        <v>407</v>
      </c>
      <c r="D21" s="40" t="s">
        <v>454</v>
      </c>
      <c r="E21" s="216" t="s">
        <v>438</v>
      </c>
      <c r="F21" s="216"/>
    </row>
    <row r="22" spans="2:6" ht="38.25" x14ac:dyDescent="0.25">
      <c r="B22" s="42" t="s">
        <v>261</v>
      </c>
      <c r="C22" s="43" t="s">
        <v>262</v>
      </c>
      <c r="D22" s="44" t="s">
        <v>231</v>
      </c>
      <c r="E22" s="218" t="s">
        <v>155</v>
      </c>
      <c r="F22" s="218"/>
    </row>
    <row r="23" spans="2:6" ht="38.25" x14ac:dyDescent="0.25">
      <c r="B23" s="3" t="s">
        <v>126</v>
      </c>
      <c r="C23" s="13" t="s">
        <v>263</v>
      </c>
      <c r="D23" s="40" t="s">
        <v>264</v>
      </c>
      <c r="E23" s="216" t="s">
        <v>150</v>
      </c>
      <c r="F23" s="216"/>
    </row>
    <row r="24" spans="2:6" x14ac:dyDescent="0.25">
      <c r="B24" s="42" t="s">
        <v>127</v>
      </c>
      <c r="C24" s="43" t="s">
        <v>265</v>
      </c>
      <c r="D24" s="44" t="s">
        <v>266</v>
      </c>
      <c r="E24" s="218" t="s">
        <v>141</v>
      </c>
      <c r="F24" s="218"/>
    </row>
    <row r="25" spans="2:6" ht="76.5" x14ac:dyDescent="0.25">
      <c r="B25" s="3" t="s">
        <v>267</v>
      </c>
      <c r="C25" s="13" t="s">
        <v>268</v>
      </c>
      <c r="D25" s="40" t="s">
        <v>455</v>
      </c>
      <c r="E25" s="216" t="s">
        <v>269</v>
      </c>
      <c r="F25" s="216"/>
    </row>
    <row r="26" spans="2:6" ht="38.25" x14ac:dyDescent="0.25">
      <c r="B26" s="42" t="s">
        <v>129</v>
      </c>
      <c r="C26" s="43" t="s">
        <v>270</v>
      </c>
      <c r="D26" s="44" t="s">
        <v>271</v>
      </c>
      <c r="E26" s="218" t="s">
        <v>33</v>
      </c>
      <c r="F26" s="218"/>
    </row>
    <row r="27" spans="2:6" ht="38.25" x14ac:dyDescent="0.25">
      <c r="B27" s="3" t="s">
        <v>53</v>
      </c>
      <c r="C27" s="13" t="s">
        <v>272</v>
      </c>
      <c r="D27" s="40" t="s">
        <v>244</v>
      </c>
      <c r="E27" s="216" t="s">
        <v>273</v>
      </c>
      <c r="F27" s="216"/>
    </row>
    <row r="28" spans="2:6" ht="63.75" x14ac:dyDescent="0.25">
      <c r="B28" s="42" t="s">
        <v>274</v>
      </c>
      <c r="C28" s="43" t="s">
        <v>275</v>
      </c>
      <c r="D28" s="44" t="s">
        <v>276</v>
      </c>
      <c r="E28" s="218" t="s">
        <v>277</v>
      </c>
      <c r="F28" s="218"/>
    </row>
    <row r="30" spans="2:6" ht="21.75" customHeight="1" x14ac:dyDescent="0.25">
      <c r="B30" s="219" t="s">
        <v>278</v>
      </c>
      <c r="C30" s="219"/>
      <c r="D30" s="219"/>
      <c r="E30" s="219"/>
      <c r="F30" s="219"/>
    </row>
    <row r="31" spans="2:6" ht="27.75" customHeight="1" x14ac:dyDescent="0.25">
      <c r="B31" s="220" t="s">
        <v>279</v>
      </c>
      <c r="C31" s="220"/>
      <c r="D31" s="220"/>
      <c r="E31" s="220"/>
      <c r="F31" s="220"/>
    </row>
    <row r="32" spans="2:6" ht="19.5" customHeight="1" x14ac:dyDescent="0.25">
      <c r="B32" s="8" t="s">
        <v>280</v>
      </c>
      <c r="C32" s="213" t="s">
        <v>281</v>
      </c>
      <c r="D32" s="213"/>
      <c r="E32" s="213" t="s">
        <v>228</v>
      </c>
      <c r="F32" s="213"/>
    </row>
    <row r="33" spans="2:6" ht="43.5" customHeight="1" x14ac:dyDescent="0.25">
      <c r="B33" s="48" t="s">
        <v>135</v>
      </c>
      <c r="C33" s="215" t="s">
        <v>282</v>
      </c>
      <c r="D33" s="215"/>
      <c r="E33" s="216" t="s">
        <v>283</v>
      </c>
      <c r="F33" s="216"/>
    </row>
    <row r="34" spans="2:6" ht="43.5" customHeight="1" x14ac:dyDescent="0.25">
      <c r="B34" s="49" t="s">
        <v>150</v>
      </c>
      <c r="C34" s="217" t="s">
        <v>284</v>
      </c>
      <c r="D34" s="217"/>
      <c r="E34" s="218" t="s">
        <v>285</v>
      </c>
      <c r="F34" s="218"/>
    </row>
    <row r="35" spans="2:6" ht="43.5" customHeight="1" x14ac:dyDescent="0.25">
      <c r="B35" s="50" t="s">
        <v>165</v>
      </c>
      <c r="C35" s="215" t="s">
        <v>286</v>
      </c>
      <c r="D35" s="215"/>
      <c r="E35" s="216" t="s">
        <v>287</v>
      </c>
      <c r="F35" s="216"/>
    </row>
    <row r="37" spans="2:6" ht="21.75" customHeight="1" x14ac:dyDescent="0.25">
      <c r="B37" s="219" t="s">
        <v>288</v>
      </c>
      <c r="C37" s="219"/>
      <c r="D37" s="219"/>
      <c r="E37" s="219"/>
      <c r="F37" s="219"/>
    </row>
    <row r="38" spans="2:6" ht="27.75" customHeight="1" x14ac:dyDescent="0.25">
      <c r="B38" s="220" t="s">
        <v>289</v>
      </c>
      <c r="C38" s="220"/>
      <c r="D38" s="220"/>
      <c r="E38" s="220"/>
      <c r="F38" s="220"/>
    </row>
    <row r="39" spans="2:6" ht="19.5" customHeight="1" x14ac:dyDescent="0.25">
      <c r="B39" s="8" t="s">
        <v>280</v>
      </c>
      <c r="C39" s="213" t="s">
        <v>281</v>
      </c>
      <c r="D39" s="213"/>
      <c r="E39" s="213" t="s">
        <v>228</v>
      </c>
      <c r="F39" s="213"/>
    </row>
    <row r="40" spans="2:6" ht="43.5" customHeight="1" x14ac:dyDescent="0.25">
      <c r="B40" s="48" t="s">
        <v>67</v>
      </c>
      <c r="C40" s="215" t="s">
        <v>290</v>
      </c>
      <c r="D40" s="215"/>
      <c r="E40" s="216" t="s">
        <v>291</v>
      </c>
      <c r="F40" s="216"/>
    </row>
    <row r="41" spans="2:6" ht="43.5" customHeight="1" x14ac:dyDescent="0.25">
      <c r="B41" s="49" t="s">
        <v>292</v>
      </c>
      <c r="C41" s="217" t="s">
        <v>293</v>
      </c>
      <c r="D41" s="217"/>
      <c r="E41" s="218" t="s">
        <v>294</v>
      </c>
      <c r="F41" s="218"/>
    </row>
    <row r="42" spans="2:6" ht="43.5" customHeight="1" x14ac:dyDescent="0.25">
      <c r="B42" s="51" t="s">
        <v>295</v>
      </c>
      <c r="C42" s="215" t="s">
        <v>296</v>
      </c>
      <c r="D42" s="215"/>
      <c r="E42" s="216" t="s">
        <v>297</v>
      </c>
      <c r="F42" s="216"/>
    </row>
    <row r="43" spans="2:6" ht="43.5" customHeight="1" x14ac:dyDescent="0.25">
      <c r="B43" s="50" t="s">
        <v>298</v>
      </c>
      <c r="C43" s="217" t="s">
        <v>299</v>
      </c>
      <c r="D43" s="217"/>
      <c r="E43" s="218" t="s">
        <v>300</v>
      </c>
      <c r="F43" s="218"/>
    </row>
    <row r="45" spans="2:6" ht="21.75" customHeight="1" x14ac:dyDescent="0.25">
      <c r="B45" s="219" t="s">
        <v>301</v>
      </c>
      <c r="C45" s="219"/>
      <c r="D45" s="219"/>
      <c r="E45" s="219"/>
      <c r="F45" s="219"/>
    </row>
    <row r="46" spans="2:6" ht="27.75" customHeight="1" x14ac:dyDescent="0.25">
      <c r="B46" s="220" t="s">
        <v>302</v>
      </c>
      <c r="C46" s="220"/>
      <c r="D46" s="220"/>
      <c r="E46" s="220"/>
      <c r="F46" s="220"/>
    </row>
    <row r="47" spans="2:6" ht="19.5" customHeight="1" x14ac:dyDescent="0.25">
      <c r="B47" s="8" t="s">
        <v>280</v>
      </c>
      <c r="C47" s="213" t="s">
        <v>281</v>
      </c>
      <c r="D47" s="213"/>
      <c r="E47" s="213" t="s">
        <v>228</v>
      </c>
      <c r="F47" s="213"/>
    </row>
    <row r="48" spans="2:6" ht="43.5" customHeight="1" x14ac:dyDescent="0.25">
      <c r="B48" s="48" t="s">
        <v>303</v>
      </c>
      <c r="C48" s="215" t="s">
        <v>304</v>
      </c>
      <c r="D48" s="215"/>
      <c r="E48" s="216" t="s">
        <v>305</v>
      </c>
      <c r="F48" s="216"/>
    </row>
    <row r="49" spans="2:6" ht="43.5" customHeight="1" x14ac:dyDescent="0.25">
      <c r="B49" s="49" t="s">
        <v>306</v>
      </c>
      <c r="C49" s="217" t="s">
        <v>307</v>
      </c>
      <c r="D49" s="217"/>
      <c r="E49" s="218" t="s">
        <v>308</v>
      </c>
      <c r="F49" s="218"/>
    </row>
    <row r="50" spans="2:6" ht="43.5" customHeight="1" x14ac:dyDescent="0.25">
      <c r="B50" s="50" t="s">
        <v>35</v>
      </c>
      <c r="C50" s="215" t="s">
        <v>309</v>
      </c>
      <c r="D50" s="215"/>
      <c r="E50" s="216" t="s">
        <v>310</v>
      </c>
      <c r="F50" s="216"/>
    </row>
    <row r="51" spans="2:6" ht="43.5" customHeight="1" x14ac:dyDescent="0.25">
      <c r="B51" s="52" t="s">
        <v>311</v>
      </c>
      <c r="C51" s="217" t="s">
        <v>312</v>
      </c>
      <c r="D51" s="217"/>
      <c r="E51" s="218" t="s">
        <v>313</v>
      </c>
      <c r="F51" s="218"/>
    </row>
    <row r="52" spans="2:6" ht="43.5" customHeight="1" x14ac:dyDescent="0.25">
      <c r="B52" s="53" t="s">
        <v>66</v>
      </c>
      <c r="C52" s="215" t="s">
        <v>314</v>
      </c>
      <c r="D52" s="215"/>
      <c r="E52" s="216" t="s">
        <v>315</v>
      </c>
      <c r="F52" s="216"/>
    </row>
    <row r="54" spans="2:6" x14ac:dyDescent="0.25">
      <c r="B54" s="73" t="s">
        <v>327</v>
      </c>
      <c r="C54" s="74"/>
      <c r="D54" s="74"/>
      <c r="E54" s="74"/>
      <c r="F54" s="74"/>
    </row>
    <row r="55" spans="2:6" x14ac:dyDescent="0.25">
      <c r="B55" s="72" t="s">
        <v>328</v>
      </c>
    </row>
    <row r="56" spans="2:6" x14ac:dyDescent="0.25">
      <c r="B56" s="75" t="s">
        <v>280</v>
      </c>
      <c r="C56" s="75" t="s">
        <v>281</v>
      </c>
      <c r="D56" s="76"/>
      <c r="E56" s="75" t="s">
        <v>228</v>
      </c>
      <c r="F56" s="76"/>
    </row>
    <row r="57" spans="2:6" x14ac:dyDescent="0.25">
      <c r="B57" s="77" t="s">
        <v>137</v>
      </c>
      <c r="C57" s="78" t="s">
        <v>329</v>
      </c>
      <c r="D57" s="79"/>
      <c r="E57" s="80" t="s">
        <v>330</v>
      </c>
      <c r="F57" s="79"/>
    </row>
    <row r="58" spans="2:6" x14ac:dyDescent="0.25">
      <c r="B58" s="81" t="s">
        <v>68</v>
      </c>
      <c r="C58" s="78" t="s">
        <v>331</v>
      </c>
      <c r="D58" s="79"/>
      <c r="E58" s="80" t="s">
        <v>332</v>
      </c>
      <c r="F58" s="79"/>
    </row>
    <row r="59" spans="2:6" x14ac:dyDescent="0.25">
      <c r="B59" s="82" t="s">
        <v>31</v>
      </c>
      <c r="C59" s="78" t="s">
        <v>333</v>
      </c>
      <c r="D59" s="79"/>
      <c r="E59" s="80" t="s">
        <v>334</v>
      </c>
      <c r="F59" s="79"/>
    </row>
    <row r="60" spans="2:6" x14ac:dyDescent="0.25">
      <c r="B60" s="83" t="s">
        <v>326</v>
      </c>
      <c r="C60" s="78" t="s">
        <v>335</v>
      </c>
      <c r="D60" s="79"/>
      <c r="E60" s="80" t="s">
        <v>336</v>
      </c>
      <c r="F60" s="79"/>
    </row>
    <row r="61" spans="2:6" x14ac:dyDescent="0.25">
      <c r="B61" s="84" t="s">
        <v>325</v>
      </c>
      <c r="C61" s="78" t="s">
        <v>337</v>
      </c>
      <c r="D61" s="79"/>
      <c r="E61" s="80" t="s">
        <v>338</v>
      </c>
      <c r="F61" s="79"/>
    </row>
  </sheetData>
  <mergeCells count="48">
    <mergeCell ref="B1:F1"/>
    <mergeCell ref="B2:F2"/>
    <mergeCell ref="B4:F4"/>
    <mergeCell ref="B19:F19"/>
    <mergeCell ref="E21:F21"/>
    <mergeCell ref="E22:F22"/>
    <mergeCell ref="E23:F23"/>
    <mergeCell ref="E24:F24"/>
    <mergeCell ref="E25:F25"/>
    <mergeCell ref="E26:F26"/>
    <mergeCell ref="E27:F27"/>
    <mergeCell ref="E28:F28"/>
    <mergeCell ref="B30:F30"/>
    <mergeCell ref="B31:F31"/>
    <mergeCell ref="C32:D32"/>
    <mergeCell ref="E32:F32"/>
    <mergeCell ref="C33:D33"/>
    <mergeCell ref="E33:F33"/>
    <mergeCell ref="C34:D34"/>
    <mergeCell ref="E34:F34"/>
    <mergeCell ref="C35:D35"/>
    <mergeCell ref="E35:F35"/>
    <mergeCell ref="B37:F37"/>
    <mergeCell ref="B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B45:F45"/>
    <mergeCell ref="B46:F46"/>
    <mergeCell ref="C47:D47"/>
    <mergeCell ref="E47:F47"/>
    <mergeCell ref="C48:D48"/>
    <mergeCell ref="E48:F48"/>
    <mergeCell ref="C52:D52"/>
    <mergeCell ref="E52:F52"/>
    <mergeCell ref="C49:D49"/>
    <mergeCell ref="E49:F49"/>
    <mergeCell ref="C50:D50"/>
    <mergeCell ref="E50:F50"/>
    <mergeCell ref="C51:D51"/>
    <mergeCell ref="E51:F5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D55"/>
  <sheetViews>
    <sheetView showGridLines="0" topLeftCell="A3" zoomScaleNormal="100" workbookViewId="0">
      <selection activeCell="D20" sqref="D20"/>
    </sheetView>
  </sheetViews>
  <sheetFormatPr defaultColWidth="8.7109375" defaultRowHeight="15" x14ac:dyDescent="0.25"/>
  <cols>
    <col min="1" max="1" width="3" customWidth="1"/>
    <col min="2" max="2" width="18" customWidth="1"/>
    <col min="3" max="3" width="34" customWidth="1"/>
    <col min="4" max="4" width="60" customWidth="1"/>
  </cols>
  <sheetData>
    <row r="1" spans="2:4" ht="25.5" customHeight="1" x14ac:dyDescent="0.25">
      <c r="B1" s="192" t="s">
        <v>408</v>
      </c>
      <c r="C1" s="192"/>
      <c r="D1" s="192"/>
    </row>
    <row r="2" spans="2:4" ht="18" customHeight="1" x14ac:dyDescent="0.25">
      <c r="B2" s="221" t="s">
        <v>409</v>
      </c>
      <c r="C2" s="221"/>
      <c r="D2" s="221"/>
    </row>
    <row r="4" spans="2:4" ht="21.75" customHeight="1" x14ac:dyDescent="0.25">
      <c r="B4" s="225" t="s">
        <v>316</v>
      </c>
      <c r="C4" s="225"/>
      <c r="D4" s="225"/>
    </row>
    <row r="5" spans="2:4" ht="15" customHeight="1" x14ac:dyDescent="0.25">
      <c r="B5" s="8" t="s">
        <v>44</v>
      </c>
      <c r="C5" s="7" t="s">
        <v>317</v>
      </c>
      <c r="D5" s="7" t="s">
        <v>318</v>
      </c>
    </row>
    <row r="6" spans="2:4" ht="25.5" customHeight="1" x14ac:dyDescent="0.25">
      <c r="B6" s="26" t="s">
        <v>420</v>
      </c>
      <c r="C6" s="54" t="s">
        <v>64</v>
      </c>
      <c r="D6" s="55" t="s">
        <v>484</v>
      </c>
    </row>
    <row r="7" spans="2:4" ht="25.5" customHeight="1" x14ac:dyDescent="0.25">
      <c r="B7" s="56" t="s">
        <v>421</v>
      </c>
      <c r="C7" s="57" t="s">
        <v>69</v>
      </c>
      <c r="D7" s="58" t="s">
        <v>71</v>
      </c>
    </row>
    <row r="8" spans="2:4" ht="25.5" customHeight="1" x14ac:dyDescent="0.25">
      <c r="B8" s="26" t="s">
        <v>422</v>
      </c>
      <c r="C8" s="54" t="s">
        <v>72</v>
      </c>
      <c r="D8" s="55" t="s">
        <v>74</v>
      </c>
    </row>
    <row r="9" spans="2:4" ht="25.5" customHeight="1" x14ac:dyDescent="0.25">
      <c r="B9" s="56" t="s">
        <v>423</v>
      </c>
      <c r="C9" s="57" t="s">
        <v>75</v>
      </c>
      <c r="D9" s="58" t="s">
        <v>485</v>
      </c>
    </row>
    <row r="10" spans="2:4" ht="25.5" customHeight="1" x14ac:dyDescent="0.25">
      <c r="B10" s="26" t="s">
        <v>424</v>
      </c>
      <c r="C10" s="54" t="s">
        <v>77</v>
      </c>
      <c r="D10" s="55" t="s">
        <v>486</v>
      </c>
    </row>
    <row r="11" spans="2:4" ht="25.5" customHeight="1" x14ac:dyDescent="0.25">
      <c r="B11" s="56" t="s">
        <v>425</v>
      </c>
      <c r="C11" s="57" t="s">
        <v>79</v>
      </c>
      <c r="D11" s="58" t="s">
        <v>487</v>
      </c>
    </row>
    <row r="12" spans="2:4" ht="25.5" customHeight="1" x14ac:dyDescent="0.25">
      <c r="B12" s="26" t="s">
        <v>426</v>
      </c>
      <c r="C12" s="54" t="s">
        <v>81</v>
      </c>
      <c r="D12" s="55" t="s">
        <v>83</v>
      </c>
    </row>
    <row r="13" spans="2:4" ht="25.5" customHeight="1" x14ac:dyDescent="0.25">
      <c r="B13" s="56" t="s">
        <v>427</v>
      </c>
      <c r="C13" s="57" t="s">
        <v>84</v>
      </c>
      <c r="D13" s="58" t="s">
        <v>86</v>
      </c>
    </row>
    <row r="14" spans="2:4" ht="25.5" customHeight="1" x14ac:dyDescent="0.25">
      <c r="B14" s="26" t="s">
        <v>428</v>
      </c>
      <c r="C14" s="54" t="s">
        <v>87</v>
      </c>
      <c r="D14" s="55" t="s">
        <v>89</v>
      </c>
    </row>
    <row r="16" spans="2:4" ht="21.75" customHeight="1" x14ac:dyDescent="0.25">
      <c r="B16" s="225" t="s">
        <v>319</v>
      </c>
      <c r="C16" s="225"/>
      <c r="D16" s="225"/>
    </row>
    <row r="17" spans="2:4" ht="15" customHeight="1" x14ac:dyDescent="0.25">
      <c r="B17" s="226" t="s">
        <v>32</v>
      </c>
      <c r="C17" s="226"/>
      <c r="D17" s="226"/>
    </row>
    <row r="18" spans="2:4" ht="15" customHeight="1" x14ac:dyDescent="0.25">
      <c r="B18" s="33" t="s">
        <v>123</v>
      </c>
      <c r="C18" s="59" t="s">
        <v>317</v>
      </c>
      <c r="D18" s="59" t="s">
        <v>320</v>
      </c>
    </row>
    <row r="19" spans="2:4" ht="27.75" customHeight="1" x14ac:dyDescent="0.25">
      <c r="B19" s="26" t="s">
        <v>430</v>
      </c>
      <c r="C19" s="54" t="s">
        <v>133</v>
      </c>
      <c r="D19" s="54" t="s">
        <v>134</v>
      </c>
    </row>
    <row r="20" spans="2:4" ht="27.75" customHeight="1" x14ac:dyDescent="0.25">
      <c r="B20" s="56" t="s">
        <v>431</v>
      </c>
      <c r="C20" s="57" t="s">
        <v>138</v>
      </c>
      <c r="D20" s="57" t="s">
        <v>139</v>
      </c>
    </row>
    <row r="21" spans="2:4" ht="27.75" customHeight="1" x14ac:dyDescent="0.25">
      <c r="B21" s="26" t="s">
        <v>432</v>
      </c>
      <c r="C21" s="54" t="s">
        <v>142</v>
      </c>
      <c r="D21" s="54" t="s">
        <v>143</v>
      </c>
    </row>
    <row r="22" spans="2:4" ht="27.75" customHeight="1" x14ac:dyDescent="0.25">
      <c r="B22" s="56" t="s">
        <v>433</v>
      </c>
      <c r="C22" s="57" t="s">
        <v>144</v>
      </c>
      <c r="D22" s="57" t="s">
        <v>145</v>
      </c>
    </row>
    <row r="23" spans="2:4" ht="27.75" customHeight="1" x14ac:dyDescent="0.25">
      <c r="B23" s="26" t="s">
        <v>434</v>
      </c>
      <c r="C23" s="54" t="s">
        <v>146</v>
      </c>
      <c r="D23" s="54" t="s">
        <v>147</v>
      </c>
    </row>
    <row r="24" spans="2:4" ht="27.75" customHeight="1" x14ac:dyDescent="0.25">
      <c r="B24" s="56" t="s">
        <v>435</v>
      </c>
      <c r="C24" s="57" t="s">
        <v>148</v>
      </c>
      <c r="D24" s="57" t="s">
        <v>149</v>
      </c>
    </row>
    <row r="25" spans="2:4" ht="38.25" x14ac:dyDescent="0.25">
      <c r="B25" s="124" t="s">
        <v>463</v>
      </c>
      <c r="C25" s="165" t="s">
        <v>464</v>
      </c>
      <c r="D25" s="165" t="s">
        <v>465</v>
      </c>
    </row>
    <row r="26" spans="2:4" ht="38.25" x14ac:dyDescent="0.25">
      <c r="B26" s="164" t="s">
        <v>466</v>
      </c>
      <c r="C26" s="132" t="s">
        <v>467</v>
      </c>
      <c r="D26" s="132" t="s">
        <v>468</v>
      </c>
    </row>
    <row r="28" spans="2:4" ht="15" customHeight="1" x14ac:dyDescent="0.25">
      <c r="B28" s="222" t="s">
        <v>34</v>
      </c>
      <c r="C28" s="222"/>
      <c r="D28" s="222"/>
    </row>
    <row r="29" spans="2:4" ht="15" customHeight="1" x14ac:dyDescent="0.25">
      <c r="B29" s="33" t="s">
        <v>123</v>
      </c>
      <c r="C29" s="59" t="s">
        <v>317</v>
      </c>
      <c r="D29" s="59" t="s">
        <v>320</v>
      </c>
    </row>
    <row r="30" spans="2:4" ht="27.75" customHeight="1" x14ac:dyDescent="0.25">
      <c r="B30" s="26" t="s">
        <v>436</v>
      </c>
      <c r="C30" s="54" t="s">
        <v>151</v>
      </c>
      <c r="D30" s="54" t="s">
        <v>152</v>
      </c>
    </row>
    <row r="31" spans="2:4" ht="27.75" customHeight="1" x14ac:dyDescent="0.25">
      <c r="B31" s="56" t="s">
        <v>437</v>
      </c>
      <c r="C31" s="57" t="s">
        <v>153</v>
      </c>
      <c r="D31" s="57" t="s">
        <v>154</v>
      </c>
    </row>
    <row r="32" spans="2:4" ht="27.75" customHeight="1" x14ac:dyDescent="0.25">
      <c r="B32" s="26" t="s">
        <v>438</v>
      </c>
      <c r="C32" s="54" t="s">
        <v>155</v>
      </c>
      <c r="D32" s="54" t="s">
        <v>156</v>
      </c>
    </row>
    <row r="33" spans="2:4" ht="27.75" customHeight="1" x14ac:dyDescent="0.25">
      <c r="B33" s="56" t="s">
        <v>439</v>
      </c>
      <c r="C33" s="57" t="s">
        <v>157</v>
      </c>
      <c r="D33" s="57" t="s">
        <v>158</v>
      </c>
    </row>
    <row r="34" spans="2:4" ht="27.75" customHeight="1" x14ac:dyDescent="0.25">
      <c r="B34" s="26" t="s">
        <v>440</v>
      </c>
      <c r="C34" s="54" t="s">
        <v>159</v>
      </c>
      <c r="D34" s="54" t="s">
        <v>160</v>
      </c>
    </row>
    <row r="35" spans="2:4" ht="27.75" customHeight="1" x14ac:dyDescent="0.25">
      <c r="B35" s="56" t="s">
        <v>441</v>
      </c>
      <c r="C35" s="57" t="s">
        <v>161</v>
      </c>
      <c r="D35" s="57" t="s">
        <v>162</v>
      </c>
    </row>
    <row r="36" spans="2:4" ht="27.75" customHeight="1" x14ac:dyDescent="0.25">
      <c r="B36" s="26" t="s">
        <v>442</v>
      </c>
      <c r="C36" s="54" t="s">
        <v>163</v>
      </c>
      <c r="D36" s="54" t="s">
        <v>164</v>
      </c>
    </row>
    <row r="38" spans="2:4" ht="15" customHeight="1" x14ac:dyDescent="0.25">
      <c r="B38" s="223" t="s">
        <v>36</v>
      </c>
      <c r="C38" s="223"/>
      <c r="D38" s="223"/>
    </row>
    <row r="39" spans="2:4" ht="15" customHeight="1" x14ac:dyDescent="0.25">
      <c r="B39" s="33" t="s">
        <v>123</v>
      </c>
      <c r="C39" s="59" t="s">
        <v>317</v>
      </c>
      <c r="D39" s="59" t="s">
        <v>320</v>
      </c>
    </row>
    <row r="40" spans="2:4" ht="27.75" customHeight="1" x14ac:dyDescent="0.25">
      <c r="B40" s="26" t="s">
        <v>443</v>
      </c>
      <c r="C40" s="54" t="s">
        <v>166</v>
      </c>
      <c r="D40" s="54" t="s">
        <v>167</v>
      </c>
    </row>
    <row r="41" spans="2:4" ht="27.75" customHeight="1" x14ac:dyDescent="0.25">
      <c r="B41" s="56" t="s">
        <v>444</v>
      </c>
      <c r="C41" s="57" t="s">
        <v>168</v>
      </c>
      <c r="D41" s="57" t="s">
        <v>169</v>
      </c>
    </row>
    <row r="42" spans="2:4" ht="27.75" customHeight="1" x14ac:dyDescent="0.25">
      <c r="B42" s="26" t="s">
        <v>445</v>
      </c>
      <c r="C42" s="54" t="s">
        <v>170</v>
      </c>
      <c r="D42" s="54" t="s">
        <v>171</v>
      </c>
    </row>
    <row r="43" spans="2:4" ht="27.75" customHeight="1" x14ac:dyDescent="0.25">
      <c r="B43" s="56" t="s">
        <v>446</v>
      </c>
      <c r="C43" s="57" t="s">
        <v>172</v>
      </c>
      <c r="D43" s="57" t="s">
        <v>173</v>
      </c>
    </row>
    <row r="44" spans="2:4" ht="27.75" customHeight="1" x14ac:dyDescent="0.25">
      <c r="B44" s="26" t="s">
        <v>447</v>
      </c>
      <c r="C44" s="54" t="s">
        <v>174</v>
      </c>
      <c r="D44" s="54" t="s">
        <v>175</v>
      </c>
    </row>
    <row r="45" spans="2:4" ht="27.75" customHeight="1" x14ac:dyDescent="0.25">
      <c r="B45" s="56" t="s">
        <v>448</v>
      </c>
      <c r="C45" s="57" t="s">
        <v>176</v>
      </c>
      <c r="D45" s="57" t="s">
        <v>177</v>
      </c>
    </row>
    <row r="46" spans="2:4" ht="38.25" x14ac:dyDescent="0.25">
      <c r="B46" s="166" t="s">
        <v>472</v>
      </c>
      <c r="C46" s="167" t="s">
        <v>473</v>
      </c>
      <c r="D46" s="167" t="s">
        <v>474</v>
      </c>
    </row>
    <row r="48" spans="2:4" ht="15" customHeight="1" x14ac:dyDescent="0.25">
      <c r="B48" s="224" t="s">
        <v>38</v>
      </c>
      <c r="C48" s="224"/>
      <c r="D48" s="224"/>
    </row>
    <row r="49" spans="2:4" ht="15" customHeight="1" x14ac:dyDescent="0.25">
      <c r="B49" s="33" t="s">
        <v>123</v>
      </c>
      <c r="C49" s="59" t="s">
        <v>317</v>
      </c>
      <c r="D49" s="59" t="s">
        <v>320</v>
      </c>
    </row>
    <row r="50" spans="2:4" ht="27.75" customHeight="1" x14ac:dyDescent="0.25">
      <c r="B50" s="26" t="s">
        <v>449</v>
      </c>
      <c r="C50" s="54" t="s">
        <v>178</v>
      </c>
      <c r="D50" s="54" t="s">
        <v>179</v>
      </c>
    </row>
    <row r="51" spans="2:4" ht="27.75" customHeight="1" x14ac:dyDescent="0.25">
      <c r="B51" s="56" t="s">
        <v>450</v>
      </c>
      <c r="C51" s="57" t="s">
        <v>181</v>
      </c>
      <c r="D51" s="57" t="s">
        <v>182</v>
      </c>
    </row>
    <row r="52" spans="2:4" ht="27.75" customHeight="1" x14ac:dyDescent="0.25">
      <c r="B52" s="26" t="s">
        <v>451</v>
      </c>
      <c r="C52" s="54" t="s">
        <v>183</v>
      </c>
      <c r="D52" s="54" t="s">
        <v>184</v>
      </c>
    </row>
    <row r="53" spans="2:4" ht="38.25" x14ac:dyDescent="0.25">
      <c r="B53" s="168" t="s">
        <v>479</v>
      </c>
      <c r="C53" s="169" t="s">
        <v>480</v>
      </c>
      <c r="D53" s="169" t="s">
        <v>481</v>
      </c>
    </row>
    <row r="55" spans="2:4" ht="15" customHeight="1" x14ac:dyDescent="0.25">
      <c r="B55" s="193" t="s">
        <v>410</v>
      </c>
      <c r="C55" s="193"/>
      <c r="D55" s="193"/>
    </row>
  </sheetData>
  <mergeCells count="9">
    <mergeCell ref="B28:D28"/>
    <mergeCell ref="B38:D38"/>
    <mergeCell ref="B48:D48"/>
    <mergeCell ref="B55:D55"/>
    <mergeCell ref="B1:D1"/>
    <mergeCell ref="B2:D2"/>
    <mergeCell ref="B4:D4"/>
    <mergeCell ref="B16:D16"/>
    <mergeCell ref="B17:D1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6A3D-FBAF-4D03-A562-5FC7FCC1D8DA}">
  <dimension ref="B1:B57"/>
  <sheetViews>
    <sheetView workbookViewId="0">
      <selection activeCell="B35" sqref="B35"/>
    </sheetView>
  </sheetViews>
  <sheetFormatPr defaultRowHeight="15" x14ac:dyDescent="0.25"/>
  <cols>
    <col min="1" max="1" width="3" customWidth="1"/>
    <col min="2" max="2" width="134.28515625" bestFit="1" customWidth="1"/>
  </cols>
  <sheetData>
    <row r="1" spans="2:2" ht="20.25" x14ac:dyDescent="0.25">
      <c r="B1" s="102" t="s">
        <v>354</v>
      </c>
    </row>
    <row r="2" spans="2:2" x14ac:dyDescent="0.25">
      <c r="B2" s="103" t="s">
        <v>355</v>
      </c>
    </row>
    <row r="4" spans="2:2" ht="15.75" x14ac:dyDescent="0.25">
      <c r="B4" s="104" t="s">
        <v>356</v>
      </c>
    </row>
    <row r="5" spans="2:2" ht="38.25" x14ac:dyDescent="0.25">
      <c r="B5" s="105" t="s">
        <v>411</v>
      </c>
    </row>
    <row r="7" spans="2:2" ht="15.75" x14ac:dyDescent="0.25">
      <c r="B7" s="104" t="s">
        <v>357</v>
      </c>
    </row>
    <row r="8" spans="2:2" x14ac:dyDescent="0.25">
      <c r="B8" s="105" t="s">
        <v>358</v>
      </c>
    </row>
    <row r="9" spans="2:2" x14ac:dyDescent="0.25">
      <c r="B9" s="105" t="s">
        <v>359</v>
      </c>
    </row>
    <row r="10" spans="2:2" x14ac:dyDescent="0.25">
      <c r="B10" s="105" t="s">
        <v>360</v>
      </c>
    </row>
    <row r="11" spans="2:2" x14ac:dyDescent="0.25">
      <c r="B11" s="105" t="s">
        <v>361</v>
      </c>
    </row>
    <row r="12" spans="2:2" x14ac:dyDescent="0.25">
      <c r="B12" s="105" t="s">
        <v>362</v>
      </c>
    </row>
    <row r="13" spans="2:2" x14ac:dyDescent="0.25">
      <c r="B13" s="105" t="s">
        <v>363</v>
      </c>
    </row>
    <row r="14" spans="2:2" x14ac:dyDescent="0.25">
      <c r="B14" s="105" t="s">
        <v>364</v>
      </c>
    </row>
    <row r="15" spans="2:2" x14ac:dyDescent="0.25">
      <c r="B15" s="105" t="s">
        <v>365</v>
      </c>
    </row>
    <row r="16" spans="2:2" x14ac:dyDescent="0.25">
      <c r="B16" s="105" t="s">
        <v>412</v>
      </c>
    </row>
    <row r="18" spans="2:2" ht="15.75" x14ac:dyDescent="0.25">
      <c r="B18" s="104" t="s">
        <v>366</v>
      </c>
    </row>
    <row r="19" spans="2:2" x14ac:dyDescent="0.25">
      <c r="B19" s="105" t="s">
        <v>367</v>
      </c>
    </row>
    <row r="20" spans="2:2" x14ac:dyDescent="0.25">
      <c r="B20" s="105" t="s">
        <v>368</v>
      </c>
    </row>
    <row r="21" spans="2:2" x14ac:dyDescent="0.25">
      <c r="B21" s="105" t="s">
        <v>369</v>
      </c>
    </row>
    <row r="22" spans="2:2" ht="25.5" x14ac:dyDescent="0.25">
      <c r="B22" s="105" t="s">
        <v>370</v>
      </c>
    </row>
    <row r="24" spans="2:2" ht="15.75" x14ac:dyDescent="0.25">
      <c r="B24" s="104" t="s">
        <v>371</v>
      </c>
    </row>
    <row r="25" spans="2:2" x14ac:dyDescent="0.25">
      <c r="B25" s="105" t="s">
        <v>372</v>
      </c>
    </row>
    <row r="26" spans="2:2" x14ac:dyDescent="0.25">
      <c r="B26" s="105" t="s">
        <v>373</v>
      </c>
    </row>
    <row r="27" spans="2:2" x14ac:dyDescent="0.25">
      <c r="B27" s="105" t="s">
        <v>374</v>
      </c>
    </row>
    <row r="28" spans="2:2" ht="25.5" x14ac:dyDescent="0.25">
      <c r="B28" s="105" t="s">
        <v>375</v>
      </c>
    </row>
    <row r="30" spans="2:2" ht="15.75" x14ac:dyDescent="0.25">
      <c r="B30" s="104" t="s">
        <v>376</v>
      </c>
    </row>
    <row r="31" spans="2:2" ht="25.5" x14ac:dyDescent="0.25">
      <c r="B31" s="105" t="s">
        <v>377</v>
      </c>
    </row>
    <row r="32" spans="2:2" x14ac:dyDescent="0.25">
      <c r="B32" s="106" t="s">
        <v>378</v>
      </c>
    </row>
    <row r="33" spans="2:2" x14ac:dyDescent="0.25">
      <c r="B33" s="106" t="s">
        <v>379</v>
      </c>
    </row>
    <row r="34" spans="2:2" ht="25.5" x14ac:dyDescent="0.25">
      <c r="B34" s="106" t="s">
        <v>380</v>
      </c>
    </row>
    <row r="35" spans="2:2" x14ac:dyDescent="0.25">
      <c r="B35" s="106" t="s">
        <v>381</v>
      </c>
    </row>
    <row r="36" spans="2:2" ht="24" x14ac:dyDescent="0.25">
      <c r="B36" s="107" t="s">
        <v>382</v>
      </c>
    </row>
    <row r="37" spans="2:2" x14ac:dyDescent="0.25">
      <c r="B37" s="175" t="s">
        <v>493</v>
      </c>
    </row>
    <row r="39" spans="2:2" ht="15.75" x14ac:dyDescent="0.25">
      <c r="B39" s="104" t="s">
        <v>383</v>
      </c>
    </row>
    <row r="40" spans="2:2" x14ac:dyDescent="0.25">
      <c r="B40" s="105" t="s">
        <v>384</v>
      </c>
    </row>
    <row r="41" spans="2:2" x14ac:dyDescent="0.25">
      <c r="B41" s="105" t="s">
        <v>385</v>
      </c>
    </row>
    <row r="42" spans="2:2" x14ac:dyDescent="0.25">
      <c r="B42" s="105" t="s">
        <v>386</v>
      </c>
    </row>
    <row r="43" spans="2:2" x14ac:dyDescent="0.25">
      <c r="B43" s="105" t="s">
        <v>387</v>
      </c>
    </row>
    <row r="44" spans="2:2" x14ac:dyDescent="0.25">
      <c r="B44" s="105" t="s">
        <v>388</v>
      </c>
    </row>
    <row r="45" spans="2:2" x14ac:dyDescent="0.25">
      <c r="B45" s="105" t="s">
        <v>389</v>
      </c>
    </row>
    <row r="47" spans="2:2" ht="15.75" x14ac:dyDescent="0.25">
      <c r="B47" s="104" t="s">
        <v>390</v>
      </c>
    </row>
    <row r="48" spans="2:2" x14ac:dyDescent="0.25">
      <c r="B48" s="105" t="s">
        <v>391</v>
      </c>
    </row>
    <row r="49" spans="2:2" x14ac:dyDescent="0.25">
      <c r="B49" s="105" t="s">
        <v>392</v>
      </c>
    </row>
    <row r="50" spans="2:2" x14ac:dyDescent="0.25">
      <c r="B50" s="105" t="s">
        <v>393</v>
      </c>
    </row>
    <row r="51" spans="2:2" x14ac:dyDescent="0.25">
      <c r="B51" s="105" t="s">
        <v>394</v>
      </c>
    </row>
    <row r="53" spans="2:2" ht="15.75" x14ac:dyDescent="0.25">
      <c r="B53" s="104" t="s">
        <v>395</v>
      </c>
    </row>
    <row r="54" spans="2:2" ht="25.5" x14ac:dyDescent="0.25">
      <c r="B54" s="105" t="s">
        <v>396</v>
      </c>
    </row>
    <row r="55" spans="2:2" ht="25.5" x14ac:dyDescent="0.25">
      <c r="B55" s="105" t="s">
        <v>397</v>
      </c>
    </row>
    <row r="56" spans="2:2" ht="25.5" x14ac:dyDescent="0.25">
      <c r="B56" s="105" t="s">
        <v>398</v>
      </c>
    </row>
    <row r="57" spans="2:2" x14ac:dyDescent="0.25">
      <c r="B57" s="107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Dashboard</vt:lpstr>
      <vt:lpstr>Risk Register</vt:lpstr>
      <vt:lpstr>Risk-Control Matrix</vt:lpstr>
      <vt:lpstr>Build Controls</vt:lpstr>
      <vt:lpstr>Release Controls</vt:lpstr>
      <vt:lpstr>Runtime Controls</vt:lpstr>
      <vt:lpstr>Lifecycle Controls</vt:lpstr>
      <vt:lpstr>Scoring Legend</vt:lpstr>
      <vt:lpstr>Definitions</vt:lpstr>
      <vt:lpstr>Model Reference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Hlaing Minn Paing</cp:lastModifiedBy>
  <cp:revision>0</cp:revision>
  <dcterms:created xsi:type="dcterms:W3CDTF">2026-06-19T01:49:59Z</dcterms:created>
  <dcterms:modified xsi:type="dcterms:W3CDTF">2026-06-23T07:23:21Z</dcterms:modified>
  <dc:language>en-US</dc:language>
</cp:coreProperties>
</file>